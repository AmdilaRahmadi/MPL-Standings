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Archieve\Code\Excel\"/>
    </mc:Choice>
  </mc:AlternateContent>
  <xr:revisionPtr revIDLastSave="0" documentId="13_ncr:1_{6AB62C95-7BD7-4F7D-AC24-3E40BDD6984E}" xr6:coauthVersionLast="47" xr6:coauthVersionMax="47" xr10:uidLastSave="{00000000-0000-0000-0000-000000000000}"/>
  <bookViews>
    <workbookView xWindow="-120" yWindow="-120" windowWidth="21840" windowHeight="13020" activeTab="1" xr2:uid="{C5244675-7051-49A0-9076-7228300D05A2}"/>
  </bookViews>
  <sheets>
    <sheet name="MPL ID" sheetId="1" r:id="rId1"/>
    <sheet name="MPL PH" sheetId="4" r:id="rId2"/>
    <sheet name="MPL MY" sheetId="5" r:id="rId3"/>
  </sheets>
  <definedNames>
    <definedName name="_xlnm.Print_Area" localSheetId="0">'MPL ID'!$A$1:$T$58</definedName>
    <definedName name="_xlnm.Print_Area" localSheetId="2">'MPL MY'!$A$1:$T$58</definedName>
    <definedName name="_xlnm.Print_Area" localSheetId="1">'MPL PH'!$A$1:$T$58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O21" i="5" l="1"/>
  <c r="BN21" i="5"/>
  <c r="BM21" i="5"/>
  <c r="BL21" i="5"/>
  <c r="BK21" i="5"/>
  <c r="BJ21" i="5"/>
  <c r="BI21" i="5"/>
  <c r="BH21" i="5"/>
  <c r="BG21" i="5"/>
  <c r="BO20" i="5"/>
  <c r="BN20" i="5"/>
  <c r="BM20" i="5"/>
  <c r="BL20" i="5"/>
  <c r="BK20" i="5"/>
  <c r="BJ20" i="5"/>
  <c r="BI20" i="5"/>
  <c r="BH20" i="5"/>
  <c r="BG20" i="5"/>
  <c r="BO19" i="5"/>
  <c r="BN19" i="5"/>
  <c r="BM19" i="5"/>
  <c r="BL19" i="5"/>
  <c r="BK19" i="5"/>
  <c r="BJ19" i="5"/>
  <c r="BI19" i="5"/>
  <c r="BH19" i="5"/>
  <c r="BG19" i="5"/>
  <c r="BO18" i="5"/>
  <c r="BN18" i="5"/>
  <c r="BM18" i="5"/>
  <c r="BL18" i="5"/>
  <c r="BK18" i="5"/>
  <c r="BJ18" i="5"/>
  <c r="BI18" i="5"/>
  <c r="BH18" i="5"/>
  <c r="BG18" i="5"/>
  <c r="BO17" i="5"/>
  <c r="BN17" i="5"/>
  <c r="BM17" i="5"/>
  <c r="BL17" i="5"/>
  <c r="BK17" i="5"/>
  <c r="BJ17" i="5"/>
  <c r="BI17" i="5"/>
  <c r="BH17" i="5"/>
  <c r="BG17" i="5"/>
  <c r="BO16" i="5"/>
  <c r="BN16" i="5"/>
  <c r="BM16" i="5"/>
  <c r="BL16" i="5"/>
  <c r="BK16" i="5"/>
  <c r="BJ16" i="5"/>
  <c r="BI16" i="5"/>
  <c r="BH16" i="5"/>
  <c r="BG16" i="5"/>
  <c r="BO15" i="5"/>
  <c r="BN15" i="5"/>
  <c r="BM15" i="5"/>
  <c r="BL15" i="5"/>
  <c r="BK15" i="5"/>
  <c r="BJ15" i="5"/>
  <c r="BI15" i="5"/>
  <c r="BH15" i="5"/>
  <c r="BG15" i="5"/>
  <c r="BO14" i="5"/>
  <c r="BN14" i="5"/>
  <c r="BM14" i="5"/>
  <c r="BL14" i="5"/>
  <c r="BK14" i="5"/>
  <c r="BJ14" i="5"/>
  <c r="BI14" i="5"/>
  <c r="BH14" i="5"/>
  <c r="BG14" i="5"/>
  <c r="BO13" i="5"/>
  <c r="BN13" i="5"/>
  <c r="BM13" i="5"/>
  <c r="BL13" i="5"/>
  <c r="BK13" i="5"/>
  <c r="BJ13" i="5"/>
  <c r="BI13" i="5"/>
  <c r="BH13" i="5"/>
  <c r="BG13" i="5"/>
  <c r="BH9" i="5"/>
  <c r="BG9" i="5"/>
  <c r="BI9" i="5" s="1"/>
  <c r="BH8" i="5"/>
  <c r="BG8" i="5"/>
  <c r="BH7" i="5"/>
  <c r="BG7" i="5"/>
  <c r="BH6" i="5"/>
  <c r="BG6" i="5"/>
  <c r="BH5" i="5"/>
  <c r="BG5" i="5"/>
  <c r="BH4" i="5"/>
  <c r="BG4" i="5"/>
  <c r="BI4" i="5" s="1"/>
  <c r="BH3" i="5"/>
  <c r="BG3" i="5"/>
  <c r="BI3" i="5" s="1"/>
  <c r="BH2" i="5"/>
  <c r="BG2" i="5"/>
  <c r="BH1" i="5"/>
  <c r="BG1" i="5"/>
  <c r="BI8" i="5" s="1"/>
  <c r="BG26" i="4"/>
  <c r="BH26" i="4"/>
  <c r="BI26" i="4"/>
  <c r="BJ26" i="4"/>
  <c r="BK26" i="4"/>
  <c r="BL26" i="4"/>
  <c r="BM26" i="4"/>
  <c r="BN26" i="4"/>
  <c r="BG27" i="4"/>
  <c r="BH27" i="4"/>
  <c r="BI27" i="4"/>
  <c r="BJ27" i="4"/>
  <c r="BK27" i="4"/>
  <c r="BL27" i="4"/>
  <c r="BM27" i="4"/>
  <c r="BN27" i="4"/>
  <c r="BG28" i="4"/>
  <c r="BH28" i="4"/>
  <c r="BI28" i="4"/>
  <c r="BJ28" i="4"/>
  <c r="BK28" i="4"/>
  <c r="BL28" i="4"/>
  <c r="BM28" i="4"/>
  <c r="BN28" i="4"/>
  <c r="BG29" i="4"/>
  <c r="BH29" i="4"/>
  <c r="BI29" i="4"/>
  <c r="BJ29" i="4"/>
  <c r="BK29" i="4"/>
  <c r="BL29" i="4"/>
  <c r="BM29" i="4"/>
  <c r="BN29" i="4"/>
  <c r="BG30" i="4"/>
  <c r="BH30" i="4"/>
  <c r="BI30" i="4"/>
  <c r="BJ30" i="4"/>
  <c r="BK30" i="4"/>
  <c r="BL30" i="4"/>
  <c r="BM30" i="4"/>
  <c r="BN30" i="4"/>
  <c r="BG31" i="4"/>
  <c r="BH31" i="4"/>
  <c r="BI31" i="4"/>
  <c r="BJ31" i="4"/>
  <c r="BK31" i="4"/>
  <c r="BL31" i="4"/>
  <c r="BM31" i="4"/>
  <c r="BN31" i="4"/>
  <c r="BG32" i="4"/>
  <c r="BH32" i="4"/>
  <c r="BI32" i="4"/>
  <c r="BJ32" i="4"/>
  <c r="BK32" i="4"/>
  <c r="BL32" i="4"/>
  <c r="BM32" i="4"/>
  <c r="BN32" i="4"/>
  <c r="BH25" i="4"/>
  <c r="BI25" i="4"/>
  <c r="BJ25" i="4"/>
  <c r="BK25" i="4"/>
  <c r="BL25" i="4"/>
  <c r="BM25" i="4"/>
  <c r="BN25" i="4"/>
  <c r="BG25" i="4"/>
  <c r="BF32" i="4"/>
  <c r="BF31" i="4"/>
  <c r="BF30" i="4"/>
  <c r="BF29" i="4"/>
  <c r="BF28" i="4"/>
  <c r="BF27" i="4"/>
  <c r="BF26" i="4"/>
  <c r="BF25" i="4"/>
  <c r="BG5" i="4"/>
  <c r="BG1" i="4"/>
  <c r="BH2" i="4"/>
  <c r="BH3" i="4"/>
  <c r="BH4" i="4"/>
  <c r="BH5" i="4"/>
  <c r="BH6" i="4"/>
  <c r="BH7" i="4"/>
  <c r="BH8" i="4"/>
  <c r="BH1" i="4"/>
  <c r="BG2" i="4"/>
  <c r="BG3" i="4"/>
  <c r="BG4" i="4"/>
  <c r="BG6" i="4"/>
  <c r="BG7" i="4"/>
  <c r="BG8" i="4"/>
  <c r="BF14" i="4"/>
  <c r="BF15" i="4"/>
  <c r="BF16" i="4"/>
  <c r="BF17" i="4"/>
  <c r="BF18" i="4"/>
  <c r="BF19" i="4"/>
  <c r="BM12" i="4" s="1"/>
  <c r="BF20" i="4"/>
  <c r="BN12" i="4" s="1"/>
  <c r="BF13" i="4"/>
  <c r="BG12" i="4" s="1"/>
  <c r="BH2" i="1"/>
  <c r="BH3" i="1"/>
  <c r="BH4" i="1"/>
  <c r="BH5" i="1"/>
  <c r="BH6" i="1"/>
  <c r="BH7" i="1"/>
  <c r="BH8" i="1"/>
  <c r="BH9" i="1"/>
  <c r="BH1" i="1"/>
  <c r="BG14" i="1"/>
  <c r="BH14" i="1"/>
  <c r="BI14" i="1"/>
  <c r="BJ14" i="1"/>
  <c r="BK14" i="1"/>
  <c r="BL14" i="1"/>
  <c r="BM14" i="1"/>
  <c r="BN14" i="1"/>
  <c r="BO14" i="1"/>
  <c r="BG15" i="1"/>
  <c r="BH15" i="1"/>
  <c r="BI15" i="1"/>
  <c r="BJ15" i="1"/>
  <c r="BK15" i="1"/>
  <c r="BL15" i="1"/>
  <c r="BM15" i="1"/>
  <c r="BN15" i="1"/>
  <c r="BO15" i="1"/>
  <c r="BG16" i="1"/>
  <c r="BH16" i="1"/>
  <c r="BI16" i="1"/>
  <c r="BJ16" i="1"/>
  <c r="BK16" i="1"/>
  <c r="BL16" i="1"/>
  <c r="BM16" i="1"/>
  <c r="BN16" i="1"/>
  <c r="BO16" i="1"/>
  <c r="BG17" i="1"/>
  <c r="BH17" i="1"/>
  <c r="BI17" i="1"/>
  <c r="BJ17" i="1"/>
  <c r="BK17" i="1"/>
  <c r="BL17" i="1"/>
  <c r="BM17" i="1"/>
  <c r="BN17" i="1"/>
  <c r="BO17" i="1"/>
  <c r="BG18" i="1"/>
  <c r="BH18" i="1"/>
  <c r="BI18" i="1"/>
  <c r="BJ18" i="1"/>
  <c r="BK18" i="1"/>
  <c r="BL18" i="1"/>
  <c r="BM18" i="1"/>
  <c r="BN18" i="1"/>
  <c r="BO18" i="1"/>
  <c r="BG19" i="1"/>
  <c r="BH19" i="1"/>
  <c r="BI19" i="1"/>
  <c r="BJ19" i="1"/>
  <c r="BK19" i="1"/>
  <c r="BL19" i="1"/>
  <c r="BM19" i="1"/>
  <c r="BN19" i="1"/>
  <c r="BO19" i="1"/>
  <c r="BG20" i="1"/>
  <c r="BH20" i="1"/>
  <c r="BI20" i="1"/>
  <c r="BJ20" i="1"/>
  <c r="BK20" i="1"/>
  <c r="BL20" i="1"/>
  <c r="BM20" i="1"/>
  <c r="BN20" i="1"/>
  <c r="BO20" i="1"/>
  <c r="BG21" i="1"/>
  <c r="BH21" i="1"/>
  <c r="BI21" i="1"/>
  <c r="BJ21" i="1"/>
  <c r="BK21" i="1"/>
  <c r="BL21" i="1"/>
  <c r="BM21" i="1"/>
  <c r="BN21" i="1"/>
  <c r="BO21" i="1"/>
  <c r="BH13" i="1"/>
  <c r="BI13" i="1"/>
  <c r="BJ13" i="1"/>
  <c r="BK13" i="1"/>
  <c r="BL13" i="1"/>
  <c r="BM13" i="1"/>
  <c r="BN13" i="1"/>
  <c r="BO13" i="1"/>
  <c r="BG13" i="1"/>
  <c r="BG2" i="1"/>
  <c r="BG3" i="1"/>
  <c r="BG4" i="1"/>
  <c r="BG5" i="1"/>
  <c r="BG6" i="1"/>
  <c r="BG7" i="1"/>
  <c r="BG8" i="1"/>
  <c r="BG9" i="1"/>
  <c r="BG1" i="1"/>
  <c r="BI7" i="5" l="1"/>
  <c r="BJ7" i="5" s="1"/>
  <c r="BI6" i="5"/>
  <c r="BJ6" i="5" s="1"/>
  <c r="BI5" i="5"/>
  <c r="BJ5" i="5" s="1"/>
  <c r="BJ4" i="5"/>
  <c r="BI1" i="5"/>
  <c r="BJ3" i="5"/>
  <c r="BJ9" i="5"/>
  <c r="BI2" i="5"/>
  <c r="BJ4" i="4"/>
  <c r="BJ2" i="4"/>
  <c r="BJ3" i="4"/>
  <c r="BJ8" i="4"/>
  <c r="BJ7" i="4"/>
  <c r="BJ6" i="4"/>
  <c r="BJ1" i="4"/>
  <c r="BJ5" i="4"/>
  <c r="BI8" i="4"/>
  <c r="BI7" i="4"/>
  <c r="BI6" i="4"/>
  <c r="BI1" i="4"/>
  <c r="BI3" i="4"/>
  <c r="BI2" i="4"/>
  <c r="BG24" i="4"/>
  <c r="BH24" i="4"/>
  <c r="BI24" i="4"/>
  <c r="BJ24" i="4"/>
  <c r="BK24" i="4"/>
  <c r="BL24" i="4"/>
  <c r="BM24" i="4"/>
  <c r="BN24" i="4"/>
  <c r="BN20" i="4"/>
  <c r="BM20" i="4"/>
  <c r="BM13" i="4"/>
  <c r="BM19" i="4"/>
  <c r="BN19" i="4"/>
  <c r="BM17" i="4"/>
  <c r="BM18" i="4"/>
  <c r="BG18" i="4"/>
  <c r="BN18" i="4"/>
  <c r="BL12" i="4"/>
  <c r="BL14" i="4" s="1"/>
  <c r="BK12" i="4"/>
  <c r="BK17" i="4" s="1"/>
  <c r="BG17" i="4"/>
  <c r="BN17" i="4"/>
  <c r="BM16" i="4"/>
  <c r="BN16" i="4"/>
  <c r="BJ12" i="4"/>
  <c r="BJ16" i="4" s="1"/>
  <c r="BI12" i="4"/>
  <c r="BI15" i="4" s="1"/>
  <c r="BG15" i="4"/>
  <c r="BM15" i="4"/>
  <c r="BN15" i="4"/>
  <c r="BJ15" i="4"/>
  <c r="BH12" i="4"/>
  <c r="BH13" i="4" s="1"/>
  <c r="BI14" i="4"/>
  <c r="BJ14" i="4"/>
  <c r="BM14" i="4"/>
  <c r="BN14" i="4"/>
  <c r="BG13" i="4"/>
  <c r="BJ13" i="4"/>
  <c r="BG16" i="4"/>
  <c r="BG20" i="4"/>
  <c r="BG19" i="4"/>
  <c r="BN13" i="4"/>
  <c r="BG14" i="4"/>
  <c r="BI3" i="1"/>
  <c r="BI8" i="1"/>
  <c r="BI5" i="1"/>
  <c r="BI9" i="1"/>
  <c r="BI7" i="1"/>
  <c r="BI6" i="1"/>
  <c r="BI4" i="1"/>
  <c r="BI2" i="1"/>
  <c r="BI1" i="1"/>
  <c r="BJ2" i="5" l="1"/>
  <c r="BJ8" i="5"/>
  <c r="BJ1" i="5"/>
  <c r="BL18" i="4"/>
  <c r="BK14" i="4"/>
  <c r="BK16" i="4"/>
  <c r="BK15" i="4"/>
  <c r="BL19" i="4"/>
  <c r="BL20" i="4"/>
  <c r="BL13" i="4"/>
  <c r="BL17" i="4"/>
  <c r="BL15" i="4"/>
  <c r="BL16" i="4"/>
  <c r="BK18" i="4"/>
  <c r="BK19" i="4"/>
  <c r="BK13" i="4"/>
  <c r="BK20" i="4"/>
  <c r="BJ18" i="4"/>
  <c r="BJ20" i="4"/>
  <c r="BJ17" i="4"/>
  <c r="BJ19" i="4"/>
  <c r="BI17" i="4"/>
  <c r="BI19" i="4"/>
  <c r="BI20" i="4"/>
  <c r="BI18" i="4"/>
  <c r="BI16" i="4"/>
  <c r="BI13" i="4"/>
  <c r="BH19" i="4"/>
  <c r="BH16" i="4"/>
  <c r="BH20" i="4"/>
  <c r="BH17" i="4"/>
  <c r="BI5" i="4" s="1"/>
  <c r="BH18" i="4"/>
  <c r="BH15" i="4"/>
  <c r="BH14" i="4"/>
  <c r="BJ8" i="1"/>
  <c r="BJ7" i="1"/>
  <c r="BJ4" i="1"/>
  <c r="BJ2" i="1"/>
  <c r="BJ6" i="1"/>
  <c r="BJ5" i="1"/>
  <c r="BJ9" i="1"/>
  <c r="BJ1" i="1"/>
  <c r="BJ3" i="1"/>
  <c r="B10" i="5" l="1"/>
  <c r="B4" i="5"/>
  <c r="B6" i="5"/>
  <c r="B5" i="5"/>
  <c r="B11" i="5"/>
  <c r="B7" i="5"/>
  <c r="B8" i="5"/>
  <c r="B3" i="5"/>
  <c r="B9" i="5"/>
  <c r="BI4" i="4"/>
  <c r="BK3" i="4" s="1"/>
  <c r="BK5" i="4"/>
  <c r="BK2" i="4"/>
  <c r="BK4" i="4"/>
  <c r="BK1" i="4"/>
  <c r="B7" i="4" s="1"/>
  <c r="BK7" i="4"/>
  <c r="BK8" i="4"/>
  <c r="BK6" i="4"/>
  <c r="B5" i="1"/>
  <c r="F5" i="1" s="1"/>
  <c r="B10" i="1"/>
  <c r="F10" i="1" s="1"/>
  <c r="B3" i="1"/>
  <c r="F3" i="1" s="1"/>
  <c r="B6" i="1"/>
  <c r="B4" i="1"/>
  <c r="E4" i="1" s="1"/>
  <c r="B8" i="1"/>
  <c r="F8" i="1" s="1"/>
  <c r="B11" i="1"/>
  <c r="F11" i="1" s="1"/>
  <c r="B7" i="1"/>
  <c r="F7" i="1" s="1"/>
  <c r="B9" i="1"/>
  <c r="F9" i="1" s="1"/>
  <c r="E3" i="1"/>
  <c r="D7" i="5" l="1"/>
  <c r="F7" i="5"/>
  <c r="E7" i="5"/>
  <c r="G7" i="5" s="1"/>
  <c r="C7" i="5"/>
  <c r="H52" i="5"/>
  <c r="J52" i="5" s="1"/>
  <c r="C11" i="5"/>
  <c r="F11" i="5"/>
  <c r="E11" i="5"/>
  <c r="D11" i="5"/>
  <c r="D5" i="5"/>
  <c r="C5" i="5"/>
  <c r="H49" i="5"/>
  <c r="F5" i="5"/>
  <c r="E5" i="5"/>
  <c r="F9" i="5"/>
  <c r="C9" i="5"/>
  <c r="E9" i="5"/>
  <c r="D9" i="5"/>
  <c r="F6" i="5"/>
  <c r="E6" i="5"/>
  <c r="D6" i="5"/>
  <c r="C6" i="5"/>
  <c r="H51" i="5"/>
  <c r="F3" i="5"/>
  <c r="E3" i="5"/>
  <c r="G3" i="5" s="1"/>
  <c r="D3" i="5"/>
  <c r="J51" i="5"/>
  <c r="C3" i="5"/>
  <c r="J49" i="5"/>
  <c r="F4" i="5"/>
  <c r="E4" i="5"/>
  <c r="D4" i="5"/>
  <c r="C4" i="5"/>
  <c r="H50" i="5"/>
  <c r="J50" i="5" s="1"/>
  <c r="F8" i="5"/>
  <c r="E8" i="5"/>
  <c r="D8" i="5"/>
  <c r="C8" i="5"/>
  <c r="E10" i="5"/>
  <c r="F10" i="5"/>
  <c r="D10" i="5"/>
  <c r="C10" i="5"/>
  <c r="B9" i="4"/>
  <c r="B10" i="4"/>
  <c r="B5" i="4"/>
  <c r="B6" i="4"/>
  <c r="B8" i="4"/>
  <c r="B4" i="4"/>
  <c r="B3" i="4"/>
  <c r="E10" i="1"/>
  <c r="E6" i="1"/>
  <c r="E5" i="1"/>
  <c r="F4" i="1"/>
  <c r="E9" i="1"/>
  <c r="E11" i="1"/>
  <c r="E7" i="1"/>
  <c r="E8" i="1"/>
  <c r="F6" i="1"/>
  <c r="G8" i="5" l="1"/>
  <c r="J53" i="5"/>
  <c r="M50" i="5"/>
  <c r="G6" i="5"/>
  <c r="G11" i="5"/>
  <c r="G4" i="5"/>
  <c r="G9" i="5"/>
  <c r="J54" i="5"/>
  <c r="M53" i="5" s="1"/>
  <c r="P52" i="5" s="1"/>
  <c r="M51" i="5"/>
  <c r="G10" i="5"/>
  <c r="G5" i="5"/>
  <c r="G7" i="1"/>
  <c r="C7" i="1"/>
  <c r="H52" i="1"/>
  <c r="D7" i="1"/>
  <c r="D10" i="1"/>
  <c r="C10" i="1"/>
  <c r="D3" i="1"/>
  <c r="C3" i="1"/>
  <c r="J51" i="1"/>
  <c r="C11" i="1"/>
  <c r="D11" i="1"/>
  <c r="H51" i="1"/>
  <c r="J52" i="1" s="1"/>
  <c r="J54" i="1" s="1"/>
  <c r="M53" i="1" s="1"/>
  <c r="C6" i="1"/>
  <c r="D6" i="1"/>
  <c r="J49" i="1"/>
  <c r="D4" i="1"/>
  <c r="C4" i="1"/>
  <c r="H49" i="1"/>
  <c r="C5" i="1"/>
  <c r="D5" i="1"/>
  <c r="H50" i="1"/>
  <c r="D8" i="1"/>
  <c r="C8" i="1"/>
  <c r="C9" i="1"/>
  <c r="D9" i="1"/>
  <c r="M52" i="5" l="1"/>
  <c r="P51" i="5"/>
  <c r="M51" i="1"/>
  <c r="G8" i="1"/>
  <c r="G4" i="1"/>
  <c r="J50" i="1"/>
  <c r="M50" i="1" s="1"/>
  <c r="P51" i="1" s="1"/>
  <c r="M52" i="1"/>
  <c r="P52" i="1" s="1"/>
  <c r="G6" i="1"/>
  <c r="G11" i="1"/>
  <c r="G10" i="1"/>
  <c r="G3" i="1"/>
  <c r="G9" i="1"/>
  <c r="G5" i="1"/>
  <c r="J53" i="1" l="1"/>
  <c r="J51" i="4" l="1"/>
  <c r="C7" i="4"/>
  <c r="C8" i="4"/>
  <c r="D3" i="4" l="1"/>
  <c r="F3" i="4"/>
  <c r="E3" i="4"/>
  <c r="C3" i="4"/>
  <c r="E8" i="4"/>
  <c r="H50" i="4"/>
  <c r="J50" i="4" s="1"/>
  <c r="D8" i="4"/>
  <c r="F8" i="4"/>
  <c r="F7" i="4"/>
  <c r="H52" i="4"/>
  <c r="J52" i="4" s="1"/>
  <c r="D7" i="4"/>
  <c r="E7" i="4"/>
  <c r="C10" i="4"/>
  <c r="E10" i="4"/>
  <c r="F10" i="4"/>
  <c r="D10" i="4"/>
  <c r="C9" i="4"/>
  <c r="F9" i="4"/>
  <c r="D9" i="4"/>
  <c r="E9" i="4"/>
  <c r="H51" i="4"/>
  <c r="D6" i="4"/>
  <c r="C6" i="4"/>
  <c r="E6" i="4"/>
  <c r="F6" i="4"/>
  <c r="J53" i="4"/>
  <c r="M50" i="4"/>
  <c r="E4" i="4"/>
  <c r="C4" i="4"/>
  <c r="F4" i="4"/>
  <c r="J49" i="4"/>
  <c r="D4" i="4"/>
  <c r="F5" i="4"/>
  <c r="C5" i="4"/>
  <c r="D5" i="4"/>
  <c r="H49" i="4"/>
  <c r="E5" i="4"/>
  <c r="G5" i="4" s="1"/>
  <c r="G3" i="4" l="1"/>
  <c r="G8" i="4"/>
  <c r="G10" i="4"/>
  <c r="G9" i="4"/>
  <c r="G4" i="4"/>
  <c r="G6" i="4"/>
  <c r="G7" i="4"/>
  <c r="M51" i="4"/>
  <c r="J54" i="4"/>
  <c r="M53" i="4" s="1"/>
  <c r="P52" i="4" s="1"/>
  <c r="P51" i="4" l="1"/>
  <c r="M52" i="4"/>
</calcChain>
</file>

<file path=xl/sharedStrings.xml><?xml version="1.0" encoding="utf-8"?>
<sst xmlns="http://schemas.openxmlformats.org/spreadsheetml/2006/main" count="657" uniqueCount="61">
  <si>
    <t>Week 1</t>
  </si>
  <si>
    <t>Day 1</t>
  </si>
  <si>
    <t>Day 2</t>
  </si>
  <si>
    <t>Day 3</t>
  </si>
  <si>
    <t>Week 2</t>
  </si>
  <si>
    <t>Week 3</t>
  </si>
  <si>
    <t>Week 4</t>
  </si>
  <si>
    <t>Week 5</t>
  </si>
  <si>
    <t>Week 6</t>
  </si>
  <si>
    <t>Week 7</t>
  </si>
  <si>
    <t>Week 8</t>
  </si>
  <si>
    <t>Week 9</t>
  </si>
  <si>
    <t>PLAYOFF</t>
  </si>
  <si>
    <t>PLAY-IN I</t>
  </si>
  <si>
    <t>PLAY-IN II</t>
  </si>
  <si>
    <t>UPPER SEMI-FINAL</t>
  </si>
  <si>
    <t>GRAND FINAL</t>
  </si>
  <si>
    <t>LOWER SEMI-FINAL</t>
  </si>
  <si>
    <t>LOWER FINAL</t>
  </si>
  <si>
    <t>Author: pIp</t>
  </si>
  <si>
    <t>AE</t>
  </si>
  <si>
    <t>BTR by VIT</t>
  </si>
  <si>
    <t>EVOS</t>
  </si>
  <si>
    <t>NAVI</t>
  </si>
  <si>
    <t>ONIC</t>
  </si>
  <si>
    <t>TLID</t>
  </si>
  <si>
    <t>KLASEMEN</t>
  </si>
  <si>
    <t>Diff</t>
  </si>
  <si>
    <t>#</t>
  </si>
  <si>
    <t>TIM</t>
  </si>
  <si>
    <t>M-Win</t>
  </si>
  <si>
    <t>M-Lose</t>
  </si>
  <si>
    <t>G-Win</t>
  </si>
  <si>
    <t>G-Lose</t>
  </si>
  <si>
    <t>Workbook ini dibuat sebagai bagian dari portofolio pribadi untuk menunjukkan kemampuan saya dalam menggunakan Microsoft Excel pada tingkat menengah.
Project ini berfokus pada pengolahan data klasemen dan simulasi playoff menggunakan input skor secara manual, dengan hasil klasemen dan bracket yang diperbarui secara otomatis.
Workbook ini dibuat untuk tujuan pembelajaran dan portfolio, bukan sebagai pengganti sistem resmi atau sumber data real-time.</t>
  </si>
  <si>
    <t>contact: amdilarahmadi@gmail.com | @pIp_laaa (instagram)</t>
  </si>
  <si>
    <t>DEWA</t>
  </si>
  <si>
    <t>RRQ</t>
  </si>
  <si>
    <t>GEEK</t>
  </si>
  <si>
    <t>TIEBREAK</t>
  </si>
  <si>
    <t>Match 1</t>
  </si>
  <si>
    <t>Match 2</t>
  </si>
  <si>
    <t>Match 3</t>
  </si>
  <si>
    <t>Match 4</t>
  </si>
  <si>
    <t>Match 5</t>
  </si>
  <si>
    <t>Match 6</t>
  </si>
  <si>
    <t>Match 7</t>
  </si>
  <si>
    <t>Match 8</t>
  </si>
  <si>
    <t>Match 9</t>
  </si>
  <si>
    <t>This workbook was created as part of a personal portfolio to demonstrate my proficiency in using Microsoft Excel at an intermediate level.
This project focuses on standings data processing and playoff simulation using manual score input, with standings and bracket results updating automatically.
This workbook is created for learning and portfolio purposes, not as a replacement for official systems or real-time data sources.</t>
  </si>
  <si>
    <t>UPPER FINAL</t>
  </si>
  <si>
    <t>AP.BREN</t>
  </si>
  <si>
    <t>OMEGA</t>
  </si>
  <si>
    <t>ONIC PH</t>
  </si>
  <si>
    <t>TLPH</t>
  </si>
  <si>
    <t>TNC</t>
  </si>
  <si>
    <t>T. FLCP</t>
  </si>
  <si>
    <t>TWIS PH</t>
  </si>
  <si>
    <t>AUR PH</t>
  </si>
  <si>
    <t>CLASSEMENT</t>
  </si>
  <si>
    <t>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</si>
</sst>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18"/>
      <color theme="1"/>
      <name val="Calibri"/>
      <family val="2"/>
      <scheme val="minor"/>
    </font>
    <font>
      <sz val="8"/>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DE7A7A"/>
        <bgColor indexed="64"/>
      </patternFill>
    </fill>
    <fill>
      <patternFill patternType="solid">
        <fgColor rgb="FFB3F3DF"/>
        <bgColor indexed="64"/>
      </patternFill>
    </fill>
    <fill>
      <patternFill patternType="solid">
        <fgColor rgb="FFE16161"/>
        <bgColor indexed="64"/>
      </patternFill>
    </fill>
    <fill>
      <patternFill patternType="solid">
        <fgColor theme="9" tint="0.39997558519241921"/>
        <bgColor indexed="64"/>
      </patternFill>
    </fill>
    <fill>
      <patternFill patternType="solid">
        <fgColor rgb="FFE57777"/>
        <bgColor indexed="64"/>
      </patternFill>
    </fill>
    <fill>
      <patternFill patternType="solid">
        <fgColor theme="8" tint="0.59999389629810485"/>
        <bgColor indexed="64"/>
      </patternFill>
    </fill>
    <fill>
      <patternFill patternType="solid">
        <fgColor rgb="FFC494C4"/>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style="double">
        <color indexed="64"/>
      </top>
      <bottom/>
      <diagonal/>
    </border>
    <border>
      <left/>
      <right style="double">
        <color indexed="64"/>
      </right>
      <top style="thin">
        <color indexed="64"/>
      </top>
      <bottom/>
      <diagonal/>
    </border>
    <border>
      <left style="double">
        <color indexed="64"/>
      </left>
      <right style="double">
        <color indexed="64"/>
      </right>
      <top/>
      <bottom style="double">
        <color indexed="64"/>
      </bottom>
      <diagonal/>
    </border>
    <border>
      <left style="double">
        <color indexed="64"/>
      </left>
      <right/>
      <top style="thin">
        <color indexed="64"/>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10">
    <xf numFmtId="0" fontId="0" fillId="0" borderId="0" xfId="0"/>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2" xfId="0" applyBorder="1" applyAlignment="1">
      <alignment horizontal="center"/>
    </xf>
    <xf numFmtId="0" fontId="0" fillId="4" borderId="0" xfId="0" applyFill="1"/>
    <xf numFmtId="0" fontId="0" fillId="4" borderId="15" xfId="0" applyFill="1" applyBorder="1"/>
    <xf numFmtId="0" fontId="0" fillId="2" borderId="28" xfId="0" applyFill="1" applyBorder="1"/>
    <xf numFmtId="0" fontId="0" fillId="2" borderId="27" xfId="0" applyFill="1" applyBorder="1"/>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1" fillId="0" borderId="0" xfId="0" applyFont="1" applyAlignment="1">
      <alignment horizontal="center" vertical="center"/>
    </xf>
    <xf numFmtId="0" fontId="1" fillId="0" borderId="19" xfId="0" applyFont="1" applyBorder="1" applyAlignment="1">
      <alignment horizontal="center" vertical="center"/>
    </xf>
    <xf numFmtId="0" fontId="1" fillId="8" borderId="5" xfId="0" applyFont="1" applyFill="1" applyBorder="1" applyAlignment="1">
      <alignment horizontal="center" vertical="center"/>
    </xf>
    <xf numFmtId="0" fontId="1" fillId="8" borderId="10" xfId="0" applyFont="1" applyFill="1" applyBorder="1" applyAlignment="1">
      <alignment horizontal="center" vertical="center"/>
    </xf>
    <xf numFmtId="0" fontId="1" fillId="8" borderId="1" xfId="0" applyFont="1" applyFill="1" applyBorder="1" applyAlignment="1">
      <alignment horizontal="center" vertical="center"/>
    </xf>
    <xf numFmtId="0" fontId="1" fillId="8" borderId="6"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9" xfId="0" applyFont="1" applyFill="1" applyBorder="1" applyAlignment="1">
      <alignment horizontal="center" vertical="center"/>
    </xf>
    <xf numFmtId="0" fontId="0" fillId="0" borderId="23" xfId="0" applyBorder="1"/>
    <xf numFmtId="0" fontId="0" fillId="0" borderId="25" xfId="0" applyBorder="1"/>
    <xf numFmtId="0" fontId="1" fillId="9" borderId="1" xfId="0" applyFont="1" applyFill="1" applyBorder="1" applyAlignment="1">
      <alignment horizontal="center" vertical="center"/>
    </xf>
    <xf numFmtId="0" fontId="1" fillId="9" borderId="8"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8" xfId="0" applyFont="1" applyFill="1" applyBorder="1" applyAlignment="1">
      <alignment horizontal="center" vertical="center"/>
    </xf>
    <xf numFmtId="0" fontId="0" fillId="0" borderId="0" xfId="0" applyAlignment="1">
      <alignment horizontal="center"/>
    </xf>
    <xf numFmtId="0" fontId="0" fillId="0" borderId="35" xfId="0" applyBorder="1"/>
    <xf numFmtId="0" fontId="0" fillId="0" borderId="36" xfId="0" applyBorder="1"/>
    <xf numFmtId="0" fontId="1" fillId="6" borderId="10" xfId="0" applyFont="1" applyFill="1" applyBorder="1" applyAlignment="1">
      <alignment horizontal="center" vertical="center"/>
    </xf>
    <xf numFmtId="0" fontId="1" fillId="6" borderId="0" xfId="0" applyFont="1" applyFill="1" applyAlignment="1">
      <alignment horizontal="center" vertical="center"/>
    </xf>
    <xf numFmtId="0" fontId="1" fillId="10" borderId="10" xfId="0" applyFont="1" applyFill="1" applyBorder="1" applyAlignment="1">
      <alignment horizontal="center" vertical="center"/>
    </xf>
    <xf numFmtId="0" fontId="1" fillId="10" borderId="1" xfId="0" applyFont="1" applyFill="1" applyBorder="1" applyAlignment="1">
      <alignment horizontal="center" vertical="center"/>
    </xf>
    <xf numFmtId="0" fontId="1" fillId="10" borderId="6"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5" xfId="0" applyFont="1" applyFill="1" applyBorder="1" applyAlignment="1">
      <alignment horizontal="center" vertical="center"/>
    </xf>
    <xf numFmtId="0" fontId="1" fillId="10" borderId="5" xfId="0" applyFont="1" applyFill="1"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4" xfId="0" applyBorder="1" applyAlignment="1">
      <alignment horizontal="justify" vertical="top" wrapText="1"/>
    </xf>
    <xf numFmtId="0" fontId="0" fillId="0" borderId="0" xfId="0" applyAlignment="1">
      <alignment horizontal="justify" vertical="top" wrapText="1"/>
    </xf>
    <xf numFmtId="0" fontId="0" fillId="0" borderId="15" xfId="0" applyBorder="1" applyAlignment="1">
      <alignment horizontal="justify" vertical="top" wrapText="1"/>
    </xf>
    <xf numFmtId="0" fontId="0" fillId="0" borderId="16" xfId="0" applyBorder="1" applyAlignment="1">
      <alignment horizontal="justify"/>
    </xf>
    <xf numFmtId="0" fontId="0" fillId="0" borderId="17" xfId="0" applyBorder="1" applyAlignment="1">
      <alignment horizontal="justify"/>
    </xf>
    <xf numFmtId="0" fontId="0" fillId="0" borderId="18" xfId="0" applyBorder="1" applyAlignment="1">
      <alignment horizontal="justify"/>
    </xf>
    <xf numFmtId="0" fontId="0" fillId="0" borderId="34" xfId="0"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7" borderId="10" xfId="0" applyFill="1" applyBorder="1" applyAlignment="1">
      <alignment horizontal="center"/>
    </xf>
    <xf numFmtId="0" fontId="0" fillId="7" borderId="21" xfId="0" applyFill="1" applyBorder="1" applyAlignment="1">
      <alignment horizontal="center"/>
    </xf>
    <xf numFmtId="0" fontId="0" fillId="7" borderId="0" xfId="0" applyFill="1" applyAlignment="1">
      <alignment horizontal="center"/>
    </xf>
    <xf numFmtId="0" fontId="0" fillId="11" borderId="26" xfId="0" applyFill="1" applyBorder="1" applyAlignment="1">
      <alignment horizontal="center"/>
    </xf>
    <xf numFmtId="0" fontId="0" fillId="11" borderId="20" xfId="0" applyFill="1" applyBorder="1" applyAlignment="1">
      <alignment horizontal="center"/>
    </xf>
    <xf numFmtId="0" fontId="0" fillId="11" borderId="0" xfId="0" applyFill="1" applyAlignment="1">
      <alignment horizontal="center"/>
    </xf>
    <xf numFmtId="0" fontId="0" fillId="6" borderId="26" xfId="0" applyFill="1" applyBorder="1" applyAlignment="1">
      <alignment horizontal="center"/>
    </xf>
    <xf numFmtId="0" fontId="0" fillId="6" borderId="24" xfId="0" applyFill="1" applyBorder="1" applyAlignment="1">
      <alignment horizontal="center"/>
    </xf>
    <xf numFmtId="0" fontId="0" fillId="3" borderId="20" xfId="0" applyFill="1" applyBorder="1" applyAlignment="1">
      <alignment horizontal="center"/>
    </xf>
    <xf numFmtId="0" fontId="0" fillId="3" borderId="24" xfId="0" applyFill="1" applyBorder="1" applyAlignment="1">
      <alignment horizontal="center"/>
    </xf>
    <xf numFmtId="0" fontId="0" fillId="11" borderId="22" xfId="0" applyFill="1" applyBorder="1" applyAlignment="1">
      <alignment horizontal="center"/>
    </xf>
    <xf numFmtId="0" fontId="0" fillId="11" borderId="21" xfId="0" applyFill="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4" borderId="22" xfId="0" applyFill="1" applyBorder="1" applyAlignment="1">
      <alignment horizontal="center"/>
    </xf>
    <xf numFmtId="0" fontId="0" fillId="4" borderId="21" xfId="0" applyFill="1" applyBorder="1" applyAlignment="1">
      <alignment horizontal="center"/>
    </xf>
    <xf numFmtId="0" fontId="0" fillId="4" borderId="0" xfId="0" applyFill="1" applyAlignment="1">
      <alignment horizontal="center"/>
    </xf>
    <xf numFmtId="0" fontId="0" fillId="4" borderId="15" xfId="0" applyFill="1" applyBorder="1" applyAlignment="1">
      <alignment horizontal="center"/>
    </xf>
    <xf numFmtId="0" fontId="0" fillId="2" borderId="14" xfId="0" applyFill="1" applyBorder="1" applyAlignment="1">
      <alignment horizontal="center" vertical="center"/>
    </xf>
    <xf numFmtId="0" fontId="0" fillId="2" borderId="0" xfId="0" applyFill="1" applyAlignment="1">
      <alignment horizontal="center" vertical="center"/>
    </xf>
    <xf numFmtId="0" fontId="0" fillId="6" borderId="0" xfId="0" applyFill="1" applyAlignment="1">
      <alignment horizontal="center"/>
    </xf>
    <xf numFmtId="0" fontId="0" fillId="3" borderId="0" xfId="0" applyFill="1" applyAlignment="1">
      <alignment horizontal="center"/>
    </xf>
    <xf numFmtId="0" fontId="1" fillId="9" borderId="10" xfId="0" applyFont="1" applyFill="1" applyBorder="1" applyAlignment="1">
      <alignment horizontal="center" vertical="center"/>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0" xfId="0"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6"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33" xfId="0" applyFont="1" applyFill="1" applyBorder="1" applyAlignment="1">
      <alignment horizontal="center" vertical="center"/>
    </xf>
    <xf numFmtId="0" fontId="1" fillId="9" borderId="9" xfId="0" applyFont="1" applyFill="1" applyBorder="1" applyAlignment="1">
      <alignment horizontal="center" vertical="center"/>
    </xf>
  </cellXfs>
  <cellStyles count="1">
    <cellStyle name="Normal" xfId="0" builtinId="0"/>
  </cellStyles>
  <dxfs count="135">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bottom style="thin">
          <color rgb="FF000000"/>
        </bottom>
      </border>
    </dxf>
    <dxf>
      <border outline="0">
        <left style="thin">
          <color rgb="FF000000"/>
        </left>
        <right style="thin">
          <color rgb="FF000000"/>
        </right>
        <top style="thin">
          <color rgb="FF000000"/>
        </top>
        <bottom style="medium">
          <color rgb="FF000000"/>
        </bottom>
      </border>
    </dxf>
    <dxf>
      <font>
        <b val="0"/>
        <i val="0"/>
        <strike val="0"/>
        <condense val="0"/>
        <extend val="0"/>
        <outline val="0"/>
        <shadow val="0"/>
        <u val="none"/>
        <vertAlign val="baseline"/>
        <sz val="12"/>
        <color rgb="FF000000"/>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0" tint="-0.14996795556505021"/>
        </patternFill>
      </fill>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outline="0">
        <bottom style="thin">
          <color rgb="FF000000"/>
        </bottom>
      </border>
    </dxf>
    <dxf>
      <border outline="0">
        <left style="thin">
          <color rgb="FF000000"/>
        </left>
        <right style="thin">
          <color rgb="FF000000"/>
        </right>
        <top style="thin">
          <color rgb="FF000000"/>
        </top>
        <bottom style="medium">
          <color rgb="FF000000"/>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thin">
          <color indexed="64"/>
        </left>
        <right style="thin">
          <color indexed="64"/>
        </right>
        <top style="thin">
          <color indexed="64"/>
        </top>
        <bottom style="medium">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2" defaultPivotStyle="PivotStyleLight16"/>
  <colors>
    <mruColors>
      <color rgb="FFE57777"/>
      <color rgb="FFB3F3DF"/>
      <color rgb="FFE16161"/>
      <color rgb="FFC494C4"/>
      <color rgb="FFDE7A7A"/>
      <color rgb="FFDD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EB49F0-7017-4F63-851B-6B6257ED421B}" name="Table2" displayName="Table2" ref="B2:B11" totalsRowShown="0" headerRowDxfId="134" dataDxfId="132" headerRowBorderDxfId="133" tableBorderDxfId="131">
  <tableColumns count="1">
    <tableColumn id="1" xr3:uid="{E1D0014B-F5C7-4B79-96DE-2D06EEAE0235}" name="TIM" dataDxfId="130">
      <calculatedColumnFormula>INDEX($BF$1:$BF$9,MATCH(ROW()-2,$BJ$1:$BJ$9,0))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F5B943-0912-466E-9E82-8A7F0750EDE2}" name="Table25" displayName="Table25" ref="B2:B11" totalsRowShown="0" headerRowDxfId="129" dataDxfId="125" headerRowBorderDxfId="127" tableBorderDxfId="128">
  <tableColumns count="1">
    <tableColumn id="1" xr3:uid="{B4480FFE-5004-446E-8621-4A5EF58DC078}" name="TEAM" dataDxfId="126">
      <calculatedColumnFormula>INDEX($BF$1:$BF$8,MATCH(ROW()-1,$BJ$1:$BJ$8,0))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9E06C1-4FE6-492E-BA39-E5291E2A3446}" name="Table26" displayName="Table26" ref="B2:B11" totalsRowShown="0" headerRowDxfId="4" dataDxfId="3" headerRowBorderDxfId="1" tableBorderDxfId="2">
  <tableColumns count="1">
    <tableColumn id="1" xr3:uid="{696BDA9A-3521-40DA-8C9B-15EBA34616CD}" name="TIM" dataDxfId="0">
      <calculatedColumnFormula>INDEX($BF$1:$BF$9,MATCH(ROW()-2,$BJ$1:$BJ$9,0))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63FDF-8A67-4367-88F6-AA6ED1A48ECE}">
  <sheetPr>
    <pageSetUpPr fitToPage="1"/>
  </sheetPr>
  <dimension ref="A1:BO61"/>
  <sheetViews>
    <sheetView zoomScaleNormal="100" workbookViewId="0">
      <selection activeCell="AX5" sqref="AX5"/>
    </sheetView>
  </sheetViews>
  <sheetFormatPr defaultRowHeight="15" x14ac:dyDescent="0.25"/>
  <cols>
    <col min="1" max="1" width="3.5703125" bestFit="1"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bestFit="1" customWidth="1"/>
    <col min="12" max="12" width="10.140625" bestFit="1" customWidth="1"/>
    <col min="13" max="13" width="7.140625" customWidth="1"/>
    <col min="14" max="14" width="19.5703125" customWidth="1"/>
    <col min="15" max="15" width="10.140625" bestFit="1" customWidth="1"/>
    <col min="18" max="18" width="10.140625" bestFit="1" customWidth="1"/>
    <col min="57" max="57" width="7.85546875" customWidth="1"/>
    <col min="58" max="58" width="11" hidden="1" customWidth="1"/>
    <col min="59" max="61" width="7.85546875" hidden="1" customWidth="1"/>
    <col min="62" max="65" width="9.140625" hidden="1" customWidth="1"/>
    <col min="66" max="66" width="4.7109375" hidden="1" customWidth="1"/>
    <col min="67" max="67" width="9.140625" hidden="1" customWidth="1"/>
  </cols>
  <sheetData>
    <row r="1" spans="1:67" ht="23.25" x14ac:dyDescent="0.25">
      <c r="A1" s="68" t="s">
        <v>26</v>
      </c>
      <c r="B1" s="69"/>
      <c r="C1" s="69"/>
      <c r="D1" s="69"/>
      <c r="E1" s="69"/>
      <c r="F1" s="69"/>
      <c r="G1" s="70"/>
      <c r="I1" s="71" t="s">
        <v>19</v>
      </c>
      <c r="J1" s="72"/>
      <c r="K1" s="72"/>
      <c r="L1" s="72"/>
      <c r="M1" s="7"/>
      <c r="N1" s="14"/>
      <c r="O1" s="7"/>
      <c r="P1" s="7"/>
      <c r="Q1" s="7"/>
      <c r="R1" s="8"/>
      <c r="BF1" s="25" t="s">
        <v>20</v>
      </c>
      <c r="BG1" s="25">
        <f>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8</v>
      </c>
      <c r="BH1" s="25">
        <f>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10</v>
      </c>
      <c r="BI1" s="25">
        <f t="shared" ref="BI1:BI9" si="0">IF(COUNTIFS($BG$1:$BG$9,BG1,$BH$1:$BH$9,BH1)&lt;=1,0,SUMPRODUCT(INDEX($BG$13:$BO$21,MATCH(BF1,$BF$13:$BF$21,0),0)*TRANSPOSE(($BG$1:$BG$9=BG1)*($BH$1:$BH$9=BH1))))</f>
        <v>8</v>
      </c>
      <c r="BJ1" s="25">
        <f t="shared" ref="BJ1:BJ9" si="1">1+SUMPRODUCT(--($BG$1:$BG$9&gt;BG1))+SUMPRODUCT(--($BG$1:$BG$9=BG1),--($BH$1:$BH$9&gt;BH1))+SUMPRODUCT(--($BG$1:$BG$9=BG1),--($BH$1:$BH$9=BH1),--($BI$1:$BI$9&gt;BI1))+SUMPRODUCT(--($BG$1:$BG$9=BG1),--($BH$1:$BH$9=BH1),--($BI$1:$BI$9=BI1),--($BF$1:$BF$9&lt;BF1))</f>
        <v>2</v>
      </c>
      <c r="BL1" s="25"/>
    </row>
    <row r="2" spans="1:67" ht="15.75" customHeight="1" x14ac:dyDescent="0.25">
      <c r="A2" s="19" t="s">
        <v>28</v>
      </c>
      <c r="B2" s="26" t="s">
        <v>29</v>
      </c>
      <c r="C2" s="20" t="s">
        <v>30</v>
      </c>
      <c r="D2" s="20" t="s">
        <v>31</v>
      </c>
      <c r="E2" s="20" t="s">
        <v>32</v>
      </c>
      <c r="F2" s="20" t="s">
        <v>33</v>
      </c>
      <c r="G2" s="21" t="s">
        <v>27</v>
      </c>
      <c r="I2" s="59" t="s">
        <v>34</v>
      </c>
      <c r="J2" s="60"/>
      <c r="K2" s="60"/>
      <c r="L2" s="60"/>
      <c r="M2" s="60"/>
      <c r="N2" s="60"/>
      <c r="O2" s="60"/>
      <c r="P2" s="60"/>
      <c r="Q2" s="60"/>
      <c r="R2" s="61"/>
      <c r="BF2" s="25" t="s">
        <v>21</v>
      </c>
      <c r="BG2" s="25">
        <f t="shared" ref="BG2:BG9" si="2">SUMPRODUCT(($C$14:$C$22=$BF2)*($D$14:$D$22&gt;$E$14:$E$22))+SUMPRODUCT(($F$14:$F$22=$BF2)*($E$14:$E$22&gt;$D$14:$D$22))+SUMPRODUCT(($I$14:$I$22=$BF2)*($J$14:$J$22&gt;$K$14:$K$22))+SUMPRODUCT(($L$14:$L$22=$BF2)*($K$14:$K$22&gt;$J$14:$J$22))+SUMPRODUCT(($O$14:$O$22=$BF2)*($P$14:$P$22&gt;$Q$14:$Q$22))+SUMPRODUCT(($R$14:$R$22=$BF2)*($Q$14:$Q$22&gt;$P$14:$P$22))+SUMPRODUCT(($C$25:$C$33=$BF2)*($D$25:$D$33&gt;$E$25:$E$33))+SUMPRODUCT(($F$25:$F$33=$BF2)*($E$25:$E$33&gt;$D$25:$D$33))+SUMPRODUCT(($I$25:$I$33=$BF2)*($J$25:$J$33&gt;$K$25:$K$33))+SUMPRODUCT(($L$25:$L$33=$BF2)*($K$25:$K$33&gt;$J$25:$J$33))+SUMPRODUCT(($O$25:$O$33=$BF2)*($P$25:$P$33&gt;$Q$25:$Q$33))+SUMPRODUCT(($R$25:$R$33=$BF2)*($Q$25:$Q$33&gt;$P$25:$P$33))+SUMPRODUCT(($C$36:$C$44=$BF2)*($D$36:$D$44&gt;$E$36:$E$44))+SUMPRODUCT(($F$36:$F$44=$BF2)*($E$36:$E$44&gt;$D$36:$D$44))+SUMPRODUCT(($I$36:$I$44=$BF2)*($J$36:$J$44&gt;$K$36:$K$44))+SUMPRODUCT(($L$36:$L$44=$BF2)*($K$36:$K$44&gt;$J$36:$J$44))+SUMPRODUCT(($O$36:$O$44=$BF2)*($P$36:$P$44&gt;$Q$36:$Q$44))+SUMPRODUCT(($R$36:$R$44=$BF2)*($Q$36:$Q$44&gt;$P$36:$P$44))</f>
        <v>5</v>
      </c>
      <c r="BH2" s="25">
        <f t="shared" ref="BH2:BH9" si="3">SUMPRODUCT(($C$14:$C$22=$BF2)*($D$14:$D$22-$E$14:$E$22))+SUMPRODUCT(($F$14:$F$22=$BF2)*($E$14:$E$22-$D$14:$D$22))+SUMPRODUCT(($I$14:$I$22=$BF2)*($J$14:$J$22-$K$14:$K$22))+SUMPRODUCT(($L$14:$L$22=$BF2)*($K$14:$K$22-$J$14:$J$22))+SUMPRODUCT(($O$14:$O$22=$BF2)*($P$14:$P$22-$Q$14:$Q$22))+SUMPRODUCT(($R$14:$R$22=$BF2)*($Q$14:$Q$22-$P$14:$P$22))+SUMPRODUCT(($C$25:$C$33=$BF2)*($D$25:$D$33-$E$25:$E$33))+SUMPRODUCT(($F$25:$F$33=$BF2)*($E$25:$E$33-$D$25:$D$33))+SUMPRODUCT(($I$25:$I$33=$BF2)*($J$25:$J$33-$K$25:$K$33))+SUMPRODUCT(($L$25:$L$33=$BF2)*($K$25:$K$33-$J$25:$J$33))+SUMPRODUCT(($O$25:$O$33=$BF2)*($P$25:$P$33-$Q$25:$Q$33))+SUMPRODUCT(($R$25:$R$33=$BF2)*($Q$25:$Q$33-$P$25:$P$33))+SUMPRODUCT(($C$36:$C$44=$BF2)*($D$36:$D$44-$E$36:$E$44))+SUMPRODUCT(($F$36:$F$44=$BF2)*($E$36:$E$44-$D$36:$D$44))+SUMPRODUCT(($I$36:$I$44=$BF2)*($J$36:$J$44-$K$36:$K$44))+SUMPRODUCT(($L$36:$L$44=$BF2)*($K$36:$K$44-$J$36:$J$44))+SUMPRODUCT(($O$36:$O$44=$BF2)*($P$36:$P$44-$Q$36:$Q$44))+SUMPRODUCT(($R$36:$R$44=$BF2)*($Q$36:$Q$44-$P$36:$P$44))+SUMPRODUCT(($C$47:$C$55=$BF2)*($D$47:$D$55-$E$47:$E$55))+SUMPRODUCT(($F$47:$F$55=$BF2)*($E$47:$E$55-$D$47:$D$55))</f>
        <v>-2</v>
      </c>
      <c r="BI2" s="25">
        <f t="shared" si="0"/>
        <v>0</v>
      </c>
      <c r="BJ2" s="25">
        <f t="shared" si="1"/>
        <v>5</v>
      </c>
      <c r="BL2" s="25"/>
    </row>
    <row r="3" spans="1:67" ht="15.75" x14ac:dyDescent="0.25">
      <c r="A3" s="27">
        <v>1</v>
      </c>
      <c r="B3" s="28" t="str">
        <f t="shared" ref="B3:B11" si="4">INDEX($BF$1:$BF$9,MATCH(ROW()-2,$BJ$1:$BJ$9,0))</f>
        <v>TLID</v>
      </c>
      <c r="C3" s="29">
        <f>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9</v>
      </c>
      <c r="D3" s="29">
        <f>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2</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19</v>
      </c>
      <c r="F3" s="29">
        <f>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7</v>
      </c>
      <c r="G3" s="30">
        <f t="shared" ref="G3:G11" si="5">E3-F3</f>
        <v>12</v>
      </c>
      <c r="I3" s="59"/>
      <c r="J3" s="60"/>
      <c r="K3" s="60"/>
      <c r="L3" s="60"/>
      <c r="M3" s="60"/>
      <c r="N3" s="60"/>
      <c r="O3" s="60"/>
      <c r="P3" s="60"/>
      <c r="Q3" s="60"/>
      <c r="R3" s="61"/>
      <c r="BF3" s="25" t="s">
        <v>36</v>
      </c>
      <c r="BG3" s="25">
        <f t="shared" si="2"/>
        <v>4</v>
      </c>
      <c r="BH3" s="25">
        <f t="shared" si="3"/>
        <v>-5</v>
      </c>
      <c r="BI3" s="25">
        <f t="shared" si="0"/>
        <v>0</v>
      </c>
      <c r="BJ3" s="25">
        <f t="shared" si="1"/>
        <v>7</v>
      </c>
      <c r="BL3" s="25"/>
    </row>
    <row r="4" spans="1:67" ht="15.75" x14ac:dyDescent="0.25">
      <c r="A4" s="27">
        <v>2</v>
      </c>
      <c r="B4" s="28" t="str">
        <f t="shared" si="4"/>
        <v>AE</v>
      </c>
      <c r="C4" s="29">
        <f t="shared" ref="C4:C11" si="6">SUMPRODUCT(($C$14:$C$22=$B4)*ISNUMBER($D$14:$D$22)*ISNUMBER($E$14:$E$22)*($D$14:$D$22&gt;$E$14:$E$22))+SUMPRODUCT(($F$14:$F$22=$B4)*ISNUMBER($D$14:$D$22)*ISNUMBER($E$14:$E$22)*($E$14:$E$22&gt;$D$14:$D$22))+SUMPRODUCT(($I$14:$I$22=$B4)*ISNUMBER($J$14:$J$22)*ISNUMBER($K$14:$K$22)*($J$14:$J$22&gt;$K$14:$K$22))+SUMPRODUCT(($L$14:$L$22=$B4)*ISNUMBER($J$14:$J$22)*ISNUMBER($K$14:$K$22)*($K$14:$K$22&gt;$J$14:$J$22))+SUMPRODUCT(($O$14:$O$22=$B4)*ISNUMBER($P$14:$P$22)*ISNUMBER($Q$14:$Q$22)*($P$14:$P$22&gt;$Q$14:$Q$22))+SUMPRODUCT(($R$14:$R$22=$B4)*ISNUMBER($P$14:$P$22)*ISNUMBER($Q$14:$Q$22)*($Q$14:$Q$22&gt;$P$14:$P$22))+SUMPRODUCT(($C$25:$C$33=$B4)*ISNUMBER($D$25:$D$33)*ISNUMBER($E$25:$E$33)*($D$25:$D$33&gt;$E$25:$E$33))+SUMPRODUCT(($F$25:$F$33=$B4)*ISNUMBER($D$25:$D$33)*ISNUMBER($E$25:$E$33)*($E$25:$E$33&gt;$D$25:$D$33))+SUMPRODUCT(($I$25:$I$33=$B4)*ISNUMBER($J$25:$J$33)*ISNUMBER($K$25:$K$33)*($J$25:$J$33&gt;$K$25:$K$33))+SUMPRODUCT(($L$25:$L$33=$B4)*ISNUMBER($J$25:$J$33)*ISNUMBER($K$25:$K$33)*($K$25:$K$33&gt;$J$25:$J$33))+SUMPRODUCT(($O$25:$O$33=$B4)*ISNUMBER($P$25:$P$33)*ISNUMBER($Q$25:$Q$33)*($P$25:$P$33&gt;$Q$25:$Q$33))+SUMPRODUCT(($R$25:$R$33=$B4)*ISNUMBER($P$25:$P$33)*ISNUMBER($Q$25:$Q$33)*($Q$25:$Q$33&gt;$P$25:$P$33))+SUMPRODUCT(($C$36:$C$44=$B4)*ISNUMBER($D$36:$D$44)*ISNUMBER($E$36:$E$44)*($D$36:$D$44&gt;$E$36:$E$44))+SUMPRODUCT(($F$36:$F$44=$B4)*ISNUMBER($D$36:$D$44)*ISNUMBER($E$36:$E$44)*($E$36:$E$44&gt;$D$36:$D$44))+SUMPRODUCT(($I$36:$I$44=$B4)*ISNUMBER($J$36:$J$44)*ISNUMBER($K$36:$K$44)*($J$36:$J$44&gt;$K$36:$K$44))+SUMPRODUCT(($L$36:$L$44=$B4)*ISNUMBER($J$36:$J$44)*ISNUMBER($K$36:$K$44)*($K$36:$K$44&gt;$J$36:$J$44))+SUMPRODUCT(($O$36:$O$44=$B4)*ISNUMBER($P$36:$P$44)*ISNUMBER($Q$36:$Q$44)*($P$36:$P$44&gt;$Q$36:$Q$44))+SUMPRODUCT(($R$36:$R$44=$B4)*ISNUMBER($P$36:$P$44)*ISNUMBER($Q$36:$Q$44)*($Q$36:$Q$44&gt;$P$36:$P$44))</f>
        <v>8</v>
      </c>
      <c r="D4" s="29">
        <f t="shared" ref="D4:D11" si="7">SUMPRODUCT(($C$14:$C$22=$B4)*ISNUMBER($D$14:$D$22)*ISNUMBER($E$14:$E$22)*($D$14:$D$22&lt;$E$14:$E$22))+SUMPRODUCT(($F$14:$F$22=$B4)*ISNUMBER($D$14:$D$22)*ISNUMBER($E$14:$E$22)*($E$14:$E$22&lt;$D$14:$D$22))+SUMPRODUCT(($I$14:$I$22=$B4)*ISNUMBER($J$14:$J$22)*ISNUMBER($K$14:$K$22)*($J$14:$J$22&lt;$K$14:$K$22))+SUMPRODUCT(($L$14:$L$22=$B4)*ISNUMBER($J$14:$J$22)*ISNUMBER($K$14:$K$22)*($K$14:$K$22&lt;$J$14:$J$22))+SUMPRODUCT(($O$14:$O$22=$B4)*ISNUMBER($P$14:$P$22)*ISNUMBER($Q$14:$Q$22)*($P$14:$P$22&lt;$Q$14:$Q$22))+SUMPRODUCT(($R$14:$R$22=$B4)*ISNUMBER($P$14:$P$22)*ISNUMBER($Q$14:$Q$22)*($Q$14:$Q$22&lt;$P$14:$P$22))+SUMPRODUCT(($C$25:$C$33=$B4)*ISNUMBER($D$25:$D$33)*ISNUMBER($E$25:$E$33)*($D$25:$D$33&lt;$E$25:$E$33))+SUMPRODUCT(($F$25:$F$33=$B4)*ISNUMBER($D$25:$D$33)*ISNUMBER($E$25:$E$33)*($E$25:$E$33&lt;$D$25:$D$33))+SUMPRODUCT(($I$25:$I$33=$B4)*ISNUMBER($J$25:$J$33)*ISNUMBER($K$25:$K$33)*($J$25:$J$33&lt;$K$25:$K$33))+SUMPRODUCT(($L$25:$L$33=$B4)*ISNUMBER($J$25:$J$33)*ISNUMBER($K$25:$K$33)*($K$25:$K$33&lt;$J$25:$K$33))+SUMPRODUCT(($O$25:$O$33=$B4)*ISNUMBER($P$25:$P$33)*ISNUMBER($Q$25:$Q$33)*($P$25:$P$33&lt;$Q$25:$Q$33))+SUMPRODUCT(($R$25:$R$33=$B4)*ISNUMBER($P$25:$P$33)*ISNUMBER($Q$25:$Q$33)*($Q$25:$Q$33&lt;$P$25:$P$33))+SUMPRODUCT(($C$36:$C$44=$B4)*ISNUMBER($D$36:$D$44)*ISNUMBER($E$36:$E$44)*($D$36:$D$44&lt;$E$36:$E$44))+SUMPRODUCT(($F$36:$F$44=$B4)*ISNUMBER($D$36:$D$44)*ISNUMBER($E$36:$E$44)*($E$36:$E$44&lt;$D$36:$D$44))+SUMPRODUCT(($I$36:$I$44=$B4)*ISNUMBER($J$36:$J$44)*ISNUMBER($K$36:$K$44)*($J$36:$J$44&lt;$K$36:$K$44))+SUMPRODUCT(($L$36:$L$44=$B4)*ISNUMBER($J$36:$J$44)*ISNUMBER($K$36:$K$44)*($K$36:$K$44&lt;$J$36:$J$44))+SUMPRODUCT(($O$36:$O$44=$B4)*ISNUMBER($P$36:$P$44)*ISNUMBER($Q$36:$Q$44)*($P$36:$P$44&lt;$Q$36:$Q$44))+SUMPRODUCT(($R$36:$R$44=$B4)*ISNUMBER($P$36:$P$44)*ISNUMBER($Q$36:$Q$44)*($Q$36:$Q$44&lt;$P$36:$P$44))</f>
        <v>3</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17</v>
      </c>
      <c r="F4" s="29">
        <f>SUMIF($C$14:$C$22,$B4,$E$14:$E$22)+SUMIF($F$14:$F$22,$B4,$D$14:$D$22)+SUMIF($I$14:$I$22,$B4,$K$14:$K$22)+SUMIF($L$14:$L$22,$B4,$J$14:$J$22)+SUMIF($O$14:$O$22,$B4,$Q$14:$Q$22)+SUMIF($R$14:$R$22,$B4,$P$14:$P$22)+SUMIF($C$25:$C$33,$B4,$E$25:$E$33)+SUMIF($F$25:$F$33,$B4,$D$25:$D$33)+SUMIF($I$25:$I$33,$B4,$K$25:$K$33)+SUMIF($L$25:$L$33,$B4,$J$25:$J$33)+SUMIF($O$25:$O$33,$B4,$Q$25:$Q$33)+SUMIF($R$25:$R$33,$B4,$P$25:$P$33)+SUMIF($C$36:$C$44,$B4,$E$36:$E$44)+SUMIF($F$36:$F$44,$B4,$D$36:$D$44)+SUMIF($I$36:$I$44,$B4,$K$36:$K$44)+SUMIF($L$36:$L$44,$B4,$J$36:$J$44)+SUMIF($O$36:$O$44,$B4,$Q$36:$Q$44)+SUMIF($R$36:$R$44,$B4,$P$36:$P$44)+SUMIF($C$47:$C$55,$B4,$E$47:$E$55)+SUMIF($F$47:$F$55,$B4,$D$47:$D$55)</f>
        <v>7</v>
      </c>
      <c r="G4" s="30">
        <f t="shared" si="5"/>
        <v>10</v>
      </c>
      <c r="I4" s="59"/>
      <c r="J4" s="60"/>
      <c r="K4" s="60"/>
      <c r="L4" s="60"/>
      <c r="M4" s="60"/>
      <c r="N4" s="60"/>
      <c r="O4" s="60"/>
      <c r="P4" s="60"/>
      <c r="Q4" s="60"/>
      <c r="R4" s="61"/>
      <c r="BF4" s="25" t="s">
        <v>22</v>
      </c>
      <c r="BG4" s="25">
        <f t="shared" si="2"/>
        <v>5</v>
      </c>
      <c r="BH4" s="25">
        <f t="shared" si="3"/>
        <v>-1</v>
      </c>
      <c r="BI4" s="25">
        <f t="shared" si="0"/>
        <v>0</v>
      </c>
      <c r="BJ4" s="25">
        <f t="shared" si="1"/>
        <v>4</v>
      </c>
      <c r="BL4" s="25"/>
    </row>
    <row r="5" spans="1:67" ht="15.75" x14ac:dyDescent="0.25">
      <c r="A5" s="54">
        <v>3</v>
      </c>
      <c r="B5" s="48" t="str">
        <f t="shared" si="4"/>
        <v>NAVI</v>
      </c>
      <c r="C5" s="49">
        <f t="shared" si="6"/>
        <v>8</v>
      </c>
      <c r="D5" s="49">
        <f t="shared" si="7"/>
        <v>2</v>
      </c>
      <c r="E5" s="49">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16</v>
      </c>
      <c r="F5" s="49">
        <f t="shared" ref="F5:F11" si="8">SUMIF($C$14:$C$22,$B5,$E$14:$E$22)+SUMIF($F$14:$F$22,$B5,$D$14:$D$22)+SUMIF($I$14:$I$22,$B5,$K$14:$K$22)+SUMIF($L$14:$L$22,$B5,$J$14:$J$22)+SUMIF($O$14:$O$22,$B5,$Q$14:$Q$22)+SUMIF($R$14:$R$22,$B5,$P$14:$P$22)+SUMIF($C$25:$C$33,$B5,$E$25:$E$33)+SUMIF($F$25:$F$33,$B5,$D$25:$D$33)+SUMIF($I$25:$I$33,$B5,$K$25:$K$33)+SUMIF($L$25:$L$33,$B5,$J$25:$J$33)+SUMIF($O$25:$O$33,$B5,$Q$25:$Q$33)+SUMIF($R$25:$R$33,$B5,$P$25:$P$33)+SUMIF($C$36:$C$44,$B5,$E$36:$E$44)+SUMIF($F$36:$F$44,$B5,$D$36:$D$44)+SUMIF($I$36:$I$44,$B5,$K$36:$K$44)+SUMIF($L$36:$L$44,$B5,$J$36:$J$44)+SUMIF($O$36:$O$44,$B5,$Q$36:$Q$44)+SUMIF($R$36:$R$44,$B5,$P$36:$P$44)+SUMIF($C$47:$C$55,$B5,$E$47:$E$55)+SUMIF($F$47:$F$55,$B5,$D$47:$D$55)</f>
        <v>6</v>
      </c>
      <c r="G5" s="50">
        <f t="shared" si="5"/>
        <v>10</v>
      </c>
      <c r="I5" s="59"/>
      <c r="J5" s="60"/>
      <c r="K5" s="60"/>
      <c r="L5" s="60"/>
      <c r="M5" s="60"/>
      <c r="N5" s="60"/>
      <c r="O5" s="60"/>
      <c r="P5" s="60"/>
      <c r="Q5" s="60"/>
      <c r="R5" s="61"/>
      <c r="BF5" s="25" t="s">
        <v>38</v>
      </c>
      <c r="BG5" s="25">
        <f t="shared" si="2"/>
        <v>2</v>
      </c>
      <c r="BH5" s="25">
        <f t="shared" si="3"/>
        <v>-12</v>
      </c>
      <c r="BI5" s="25">
        <f t="shared" si="0"/>
        <v>0</v>
      </c>
      <c r="BJ5" s="25">
        <f t="shared" si="1"/>
        <v>9</v>
      </c>
      <c r="BL5" s="25"/>
    </row>
    <row r="6" spans="1:67" ht="15.75" x14ac:dyDescent="0.25">
      <c r="A6" s="53">
        <v>4</v>
      </c>
      <c r="B6" s="46" t="str">
        <f t="shared" si="4"/>
        <v>EVOS</v>
      </c>
      <c r="C6" s="51">
        <f t="shared" si="6"/>
        <v>5</v>
      </c>
      <c r="D6" s="51">
        <f t="shared" si="7"/>
        <v>5</v>
      </c>
      <c r="E6" s="51">
        <f t="shared" ref="E6:E8" si="9">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11</v>
      </c>
      <c r="F6" s="51">
        <f t="shared" si="8"/>
        <v>12</v>
      </c>
      <c r="G6" s="52">
        <f t="shared" si="5"/>
        <v>-1</v>
      </c>
      <c r="I6" s="59"/>
      <c r="J6" s="60"/>
      <c r="K6" s="60"/>
      <c r="L6" s="60"/>
      <c r="M6" s="60"/>
      <c r="N6" s="60"/>
      <c r="O6" s="60"/>
      <c r="P6" s="60"/>
      <c r="Q6" s="60"/>
      <c r="R6" s="61"/>
      <c r="BF6" s="25" t="s">
        <v>23</v>
      </c>
      <c r="BG6" s="25">
        <f t="shared" si="2"/>
        <v>8</v>
      </c>
      <c r="BH6" s="25">
        <f t="shared" si="3"/>
        <v>10</v>
      </c>
      <c r="BI6" s="25">
        <f t="shared" si="0"/>
        <v>8</v>
      </c>
      <c r="BJ6" s="25">
        <f t="shared" si="1"/>
        <v>3</v>
      </c>
      <c r="BL6" s="25"/>
    </row>
    <row r="7" spans="1:67" ht="15.75" x14ac:dyDescent="0.25">
      <c r="A7" s="53">
        <v>5</v>
      </c>
      <c r="B7" s="47" t="str">
        <f t="shared" si="4"/>
        <v>BTR by VIT</v>
      </c>
      <c r="C7" s="51">
        <f t="shared" si="6"/>
        <v>5</v>
      </c>
      <c r="D7" s="51">
        <f t="shared" si="7"/>
        <v>5</v>
      </c>
      <c r="E7" s="51">
        <f t="shared" si="9"/>
        <v>11</v>
      </c>
      <c r="F7" s="51">
        <f t="shared" si="8"/>
        <v>13</v>
      </c>
      <c r="G7" s="52">
        <f t="shared" si="5"/>
        <v>-2</v>
      </c>
      <c r="I7" s="59"/>
      <c r="J7" s="60"/>
      <c r="K7" s="60"/>
      <c r="L7" s="60"/>
      <c r="M7" s="60"/>
      <c r="N7" s="60"/>
      <c r="O7" s="60"/>
      <c r="P7" s="60"/>
      <c r="Q7" s="60"/>
      <c r="R7" s="61"/>
      <c r="BF7" s="25" t="s">
        <v>24</v>
      </c>
      <c r="BG7" s="25">
        <f t="shared" si="2"/>
        <v>4</v>
      </c>
      <c r="BH7" s="25">
        <f t="shared" si="3"/>
        <v>-2</v>
      </c>
      <c r="BI7" s="25">
        <f t="shared" si="0"/>
        <v>0</v>
      </c>
      <c r="BJ7" s="25">
        <f t="shared" si="1"/>
        <v>6</v>
      </c>
      <c r="BL7" s="25"/>
    </row>
    <row r="8" spans="1:67" ht="15.75" x14ac:dyDescent="0.25">
      <c r="A8" s="54">
        <v>6</v>
      </c>
      <c r="B8" s="48" t="str">
        <f t="shared" si="4"/>
        <v>ONIC</v>
      </c>
      <c r="C8" s="49">
        <f t="shared" si="6"/>
        <v>4</v>
      </c>
      <c r="D8" s="49">
        <f t="shared" si="7"/>
        <v>7</v>
      </c>
      <c r="E8" s="49">
        <f t="shared" si="9"/>
        <v>12</v>
      </c>
      <c r="F8" s="49">
        <f t="shared" si="8"/>
        <v>14</v>
      </c>
      <c r="G8" s="50">
        <f t="shared" si="5"/>
        <v>-2</v>
      </c>
      <c r="I8" s="59"/>
      <c r="J8" s="60"/>
      <c r="K8" s="60"/>
      <c r="L8" s="60"/>
      <c r="M8" s="60"/>
      <c r="N8" s="60"/>
      <c r="O8" s="60"/>
      <c r="P8" s="60"/>
      <c r="Q8" s="60"/>
      <c r="R8" s="61"/>
      <c r="BF8" s="25" t="s">
        <v>37</v>
      </c>
      <c r="BG8" s="25">
        <f t="shared" si="2"/>
        <v>2</v>
      </c>
      <c r="BH8" s="25">
        <f t="shared" si="3"/>
        <v>-10</v>
      </c>
      <c r="BI8" s="25">
        <f t="shared" si="0"/>
        <v>0</v>
      </c>
      <c r="BJ8" s="25">
        <f t="shared" si="1"/>
        <v>8</v>
      </c>
      <c r="BL8" s="25"/>
    </row>
    <row r="9" spans="1:67" ht="15.75" x14ac:dyDescent="0.25">
      <c r="A9" s="31">
        <v>7</v>
      </c>
      <c r="B9" s="32" t="str">
        <f t="shared" si="4"/>
        <v>DEWA</v>
      </c>
      <c r="C9" s="39">
        <f t="shared" si="6"/>
        <v>4</v>
      </c>
      <c r="D9" s="39">
        <f t="shared" si="7"/>
        <v>6</v>
      </c>
      <c r="E9" s="39">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9</v>
      </c>
      <c r="F9" s="41">
        <f t="shared" si="8"/>
        <v>14</v>
      </c>
      <c r="G9" s="33">
        <f t="shared" si="5"/>
        <v>-5</v>
      </c>
      <c r="I9" s="59"/>
      <c r="J9" s="60"/>
      <c r="K9" s="60"/>
      <c r="L9" s="60"/>
      <c r="M9" s="60"/>
      <c r="N9" s="60"/>
      <c r="O9" s="60"/>
      <c r="P9" s="60"/>
      <c r="Q9" s="60"/>
      <c r="R9" s="61"/>
      <c r="BF9" s="25" t="s">
        <v>25</v>
      </c>
      <c r="BG9" s="25">
        <f t="shared" si="2"/>
        <v>9</v>
      </c>
      <c r="BH9" s="25">
        <f t="shared" si="3"/>
        <v>12</v>
      </c>
      <c r="BI9" s="25">
        <f t="shared" si="0"/>
        <v>0</v>
      </c>
      <c r="BJ9" s="25">
        <f t="shared" si="1"/>
        <v>1</v>
      </c>
      <c r="BL9" s="25"/>
    </row>
    <row r="10" spans="1:67" ht="16.5" thickBot="1" x14ac:dyDescent="0.3">
      <c r="A10" s="31">
        <v>8</v>
      </c>
      <c r="B10" s="32" t="str">
        <f t="shared" si="4"/>
        <v>RRQ</v>
      </c>
      <c r="C10" s="39">
        <f t="shared" si="6"/>
        <v>2</v>
      </c>
      <c r="D10" s="39">
        <f t="shared" si="7"/>
        <v>8</v>
      </c>
      <c r="E10" s="39">
        <f t="shared" ref="E10:E11" si="10">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7</v>
      </c>
      <c r="F10" s="41">
        <f t="shared" si="8"/>
        <v>17</v>
      </c>
      <c r="G10" s="33">
        <f t="shared" si="5"/>
        <v>-10</v>
      </c>
      <c r="I10" s="62" t="s">
        <v>35</v>
      </c>
      <c r="J10" s="63"/>
      <c r="K10" s="63"/>
      <c r="L10" s="63"/>
      <c r="M10" s="63"/>
      <c r="N10" s="63"/>
      <c r="O10" s="63"/>
      <c r="P10" s="63"/>
      <c r="Q10" s="63"/>
      <c r="R10" s="64"/>
    </row>
    <row r="11" spans="1:67" ht="16.5" thickBot="1" x14ac:dyDescent="0.3">
      <c r="A11" s="34">
        <v>9</v>
      </c>
      <c r="B11" s="35" t="str">
        <f t="shared" si="4"/>
        <v>GEEK</v>
      </c>
      <c r="C11" s="40">
        <f t="shared" si="6"/>
        <v>2</v>
      </c>
      <c r="D11" s="40">
        <f t="shared" si="7"/>
        <v>9</v>
      </c>
      <c r="E11" s="40">
        <f t="shared" si="10"/>
        <v>7</v>
      </c>
      <c r="F11" s="42">
        <f t="shared" si="8"/>
        <v>19</v>
      </c>
      <c r="G11" s="36">
        <f t="shared" si="5"/>
        <v>-12</v>
      </c>
    </row>
    <row r="12" spans="1:67" x14ac:dyDescent="0.25">
      <c r="BG12" t="s">
        <v>20</v>
      </c>
      <c r="BH12" t="s">
        <v>21</v>
      </c>
      <c r="BI12" t="s">
        <v>36</v>
      </c>
      <c r="BJ12" t="s">
        <v>22</v>
      </c>
      <c r="BK12" t="s">
        <v>38</v>
      </c>
      <c r="BL12" t="s">
        <v>23</v>
      </c>
      <c r="BM12" t="s">
        <v>24</v>
      </c>
      <c r="BN12" t="s">
        <v>37</v>
      </c>
      <c r="BO12" t="s">
        <v>25</v>
      </c>
    </row>
    <row r="13" spans="1:67" ht="16.5" thickBot="1" x14ac:dyDescent="0.3">
      <c r="B13" s="65" t="s">
        <v>0</v>
      </c>
      <c r="C13" s="66"/>
      <c r="D13" s="66"/>
      <c r="E13" s="66"/>
      <c r="F13" s="67"/>
      <c r="H13" s="65" t="s">
        <v>4</v>
      </c>
      <c r="I13" s="66"/>
      <c r="J13" s="66"/>
      <c r="K13" s="66"/>
      <c r="L13" s="67"/>
      <c r="N13" s="65" t="s">
        <v>5</v>
      </c>
      <c r="O13" s="66"/>
      <c r="P13" s="66"/>
      <c r="Q13" s="66"/>
      <c r="R13" s="67"/>
      <c r="BF13" s="25" t="s">
        <v>20</v>
      </c>
      <c r="BG13">
        <f>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ref="BH13:BO21" si="11">SUMPRODUCT(($C$14:$C$22=$BF13)*($F$14:$F$22=BH$12)*($D$14:$D$22&gt;$E$14:$E$22))+SUMPRODUCT(($F$14:$F$22=$BF13)*($C$14:$C$22=BH$12)*($E$14:$E$22&gt;$D$14:$D$22))+SUMPRODUCT(($I$14:$I$22=$BF13)*($L$14:$L$22=BH$12)*($J$14:$J$22&gt;$K$14:$K$22))+SUMPRODUCT(($L$14:$L$22=$BF13)*($I$14:$I$22=BH$12)*($K$14:$K$22&gt;$J$14:$J$22))+SUMPRODUCT(($O$14:$O$22=$BF13)*($R$14:$R$22=BH$12)*($P$14:$P$22&gt;$Q$14:$Q$22))+SUMPRODUCT(($R$14:$R$22=$BF13)*($O$14:$O$22=BH$12)*($Q$14:$Q$22&gt;$P$14:$P$22))+SUMPRODUCT(($C$25:$C$33=$BF13)*($F$25:$F$33=BH$12)*($D$25:$D$33&gt;$E$25:$E$33))+SUMPRODUCT(($F$25:$F$33=$BF13)*($C$25:$C$33=BH$12)*($E$25:$E$33&gt;$D$25:$D$33))+SUMPRODUCT(($I$25:$I$33=$BF13)*($L$25:$L$33=BH$12)*($J$25:$J$33&gt;$K$25:$K$33))+SUMPRODUCT(($L$25:$L$33=$BF13)*($I$25:$I$33=BH$12)*($K$25:$K$33&gt;$J$25:$J$33))+SUMPRODUCT(($O$25:$O$33=$BF13)*($R$25:$R$33=BH$12)*($P$25:$P$33&gt;$Q$25:$Q$33))+SUMPRODUCT(($R$25:$R$33=$BF13)*($O$25:$O$33=BH$12)*($Q$25:$Q$33&gt;$P$25:$P$33))+SUMPRODUCT(($C$37:$C$45=$BF13)*($F$37:$F$45=BH$12)*($D$37:$D$45&gt;$E$37:$E$45))+SUMPRODUCT(($F$37:$F$45=$BF13)*($C$37:$C$45=BH$12)*($E$37:$E$45&gt;$D$37:$D$45))+SUMPRODUCT(($I$37:$I$45=$BF13)*($L$37:$L$45=BH$12)*($J$37:$J$45&gt;$K$37:$K$45))+SUMPRODUCT(($L$37:$L$45=$BF13)*($I$37:$I$45=BH$12)*($K$37:$K$45&gt;$J$37:$J$45))+SUMPRODUCT(($O$37:$O$45=$BF13)*($R$37:$R$45=BH$12)*($P$37:$P$45&gt;$Q$37:$Q$45))+SUMPRODUCT(($R$37:$R$45=$BF13)*($O$37:$O$45=BH$12)*($Q$37:$Q$45&gt;$P$37:$P$45))</f>
        <v>1</v>
      </c>
      <c r="BI13">
        <f t="shared" si="11"/>
        <v>1</v>
      </c>
      <c r="BJ13">
        <f t="shared" si="11"/>
        <v>1</v>
      </c>
      <c r="BK13">
        <f t="shared" si="11"/>
        <v>1</v>
      </c>
      <c r="BL13">
        <f t="shared" si="11"/>
        <v>1</v>
      </c>
      <c r="BM13">
        <f t="shared" si="11"/>
        <v>1</v>
      </c>
      <c r="BN13">
        <f t="shared" si="11"/>
        <v>2</v>
      </c>
      <c r="BO13">
        <f t="shared" si="11"/>
        <v>0</v>
      </c>
    </row>
    <row r="14" spans="1:67" ht="15.75" x14ac:dyDescent="0.25">
      <c r="B14" s="22" t="s">
        <v>1</v>
      </c>
      <c r="C14" s="23" t="s">
        <v>22</v>
      </c>
      <c r="D14" s="23">
        <v>2</v>
      </c>
      <c r="E14" s="23">
        <v>0</v>
      </c>
      <c r="F14" s="24" t="s">
        <v>37</v>
      </c>
      <c r="H14" s="22" t="s">
        <v>1</v>
      </c>
      <c r="I14" s="23" t="s">
        <v>25</v>
      </c>
      <c r="J14" s="23">
        <v>0</v>
      </c>
      <c r="K14" s="23">
        <v>2</v>
      </c>
      <c r="L14" s="24" t="s">
        <v>23</v>
      </c>
      <c r="N14" s="22" t="s">
        <v>1</v>
      </c>
      <c r="O14" s="23" t="s">
        <v>21</v>
      </c>
      <c r="P14" s="23">
        <v>2</v>
      </c>
      <c r="Q14" s="23">
        <v>0</v>
      </c>
      <c r="R14" s="24" t="s">
        <v>23</v>
      </c>
      <c r="BF14" s="25" t="s">
        <v>21</v>
      </c>
      <c r="BG14">
        <f t="shared" ref="BG14:BG21" si="12">SUMPRODUCT(($C$14:$C$22=$BF14)*($F$14:$F$22=BG$12)*($D$14:$D$22&gt;$E$14:$E$22))+SUMPRODUCT(($F$14:$F$22=$BF14)*($C$14:$C$22=BG$12)*($E$14:$E$22&gt;$D$14:$D$22))+SUMPRODUCT(($I$14:$I$22=$BF14)*($L$14:$L$22=BG$12)*($J$14:$J$22&gt;$K$14:$K$22))+SUMPRODUCT(($L$14:$L$22=$BF14)*($I$14:$I$22=BG$12)*($K$14:$K$22&gt;$J$14:$J$22))+SUMPRODUCT(($O$14:$O$22=$BF14)*($R$14:$R$22=BG$12)*($P$14:$P$22&gt;$Q$14:$Q$22))+SUMPRODUCT(($R$14:$R$22=$BF14)*($O$14:$O$22=BG$12)*($Q$14:$Q$22&gt;$P$14:$P$22))+SUMPRODUCT(($C$25:$C$33=$BF14)*($F$25:$F$33=BG$12)*($D$25:$D$33&gt;$E$25:$E$33))+SUMPRODUCT(($F$25:$F$33=$BF14)*($C$25:$C$33=BG$12)*($E$25:$E$33&gt;$D$25:$D$33))+SUMPRODUCT(($I$25:$I$33=$BF14)*($L$25:$L$33=BG$12)*($J$25:$J$33&gt;$K$25:$K$33))+SUMPRODUCT(($L$25:$L$33=$BF14)*($I$25:$I$33=BG$12)*($K$25:$K$33&gt;$J$25:$J$33))+SUMPRODUCT(($O$25:$O$33=$BF14)*($R$25:$R$33=BG$12)*($P$25:$P$33&gt;$Q$25:$Q$33))+SUMPRODUCT(($R$25:$R$33=$BF14)*($O$25:$O$33=BG$12)*($Q$25:$Q$33&gt;$P$25:$P$33))+SUMPRODUCT(($C$37:$C$45=$BF14)*($F$37:$F$45=BG$12)*($D$37:$D$45&gt;$E$37:$E$45))+SUMPRODUCT(($F$37:$F$45=$BF14)*($C$37:$C$45=BG$12)*($E$37:$E$45&gt;$D$37:$D$45))+SUMPRODUCT(($I$37:$I$45=$BF14)*($L$37:$L$45=BG$12)*($J$37:$J$45&gt;$K$37:$K$45))+SUMPRODUCT(($L$37:$L$45=$BF14)*($I$37:$I$45=BG$12)*($K$37:$K$45&gt;$J$37:$J$45))+SUMPRODUCT(($O$37:$O$45=$BF14)*($R$37:$R$45=BG$12)*($P$37:$P$45&gt;$Q$37:$Q$45))+SUMPRODUCT(($R$37:$R$45=$BF14)*($O$37:$O$45=BG$12)*($Q$37:$Q$45&gt;$P$37:$P$45))</f>
        <v>0</v>
      </c>
      <c r="BH14">
        <f t="shared" si="11"/>
        <v>0</v>
      </c>
      <c r="BI14">
        <f t="shared" si="11"/>
        <v>1</v>
      </c>
      <c r="BJ14">
        <f t="shared" si="11"/>
        <v>0</v>
      </c>
      <c r="BK14">
        <f t="shared" si="11"/>
        <v>1</v>
      </c>
      <c r="BL14">
        <f t="shared" si="11"/>
        <v>1</v>
      </c>
      <c r="BM14">
        <f t="shared" si="11"/>
        <v>1</v>
      </c>
      <c r="BN14">
        <f t="shared" si="11"/>
        <v>1</v>
      </c>
      <c r="BO14">
        <f t="shared" si="11"/>
        <v>0</v>
      </c>
    </row>
    <row r="15" spans="1:67" ht="15.75" x14ac:dyDescent="0.25">
      <c r="B15" s="2"/>
      <c r="C15" s="1" t="s">
        <v>23</v>
      </c>
      <c r="D15" s="1">
        <v>0</v>
      </c>
      <c r="E15" s="1">
        <v>2</v>
      </c>
      <c r="F15" s="3" t="s">
        <v>20</v>
      </c>
      <c r="H15" s="2"/>
      <c r="I15" s="1" t="s">
        <v>21</v>
      </c>
      <c r="J15" s="1">
        <v>2</v>
      </c>
      <c r="K15" s="1">
        <v>0</v>
      </c>
      <c r="L15" s="3" t="s">
        <v>36</v>
      </c>
      <c r="N15" s="2"/>
      <c r="O15" s="1" t="s">
        <v>36</v>
      </c>
      <c r="P15" s="1">
        <v>2</v>
      </c>
      <c r="Q15" s="1">
        <v>0</v>
      </c>
      <c r="R15" s="3" t="s">
        <v>38</v>
      </c>
      <c r="BF15" s="25" t="s">
        <v>36</v>
      </c>
      <c r="BG15">
        <f t="shared" si="12"/>
        <v>1</v>
      </c>
      <c r="BH15">
        <f t="shared" si="11"/>
        <v>0</v>
      </c>
      <c r="BI15">
        <f t="shared" si="11"/>
        <v>0</v>
      </c>
      <c r="BJ15">
        <f t="shared" si="11"/>
        <v>0</v>
      </c>
      <c r="BK15">
        <f t="shared" si="11"/>
        <v>1</v>
      </c>
      <c r="BL15">
        <f t="shared" si="11"/>
        <v>0</v>
      </c>
      <c r="BM15">
        <f t="shared" si="11"/>
        <v>1</v>
      </c>
      <c r="BN15">
        <f t="shared" si="11"/>
        <v>1</v>
      </c>
      <c r="BO15">
        <f t="shared" si="11"/>
        <v>0</v>
      </c>
    </row>
    <row r="16" spans="1:67" ht="16.5" thickBot="1" x14ac:dyDescent="0.3">
      <c r="B16" s="4"/>
      <c r="C16" s="5"/>
      <c r="D16" s="5"/>
      <c r="E16" s="5"/>
      <c r="F16" s="6"/>
      <c r="H16" s="4"/>
      <c r="I16" s="5"/>
      <c r="J16" s="5"/>
      <c r="K16" s="5"/>
      <c r="L16" s="6"/>
      <c r="N16" s="4"/>
      <c r="O16" s="5"/>
      <c r="P16" s="5"/>
      <c r="Q16" s="5"/>
      <c r="R16" s="6"/>
      <c r="BF16" s="25" t="s">
        <v>22</v>
      </c>
      <c r="BG16">
        <f t="shared" si="12"/>
        <v>0</v>
      </c>
      <c r="BH16">
        <f t="shared" si="11"/>
        <v>1</v>
      </c>
      <c r="BI16">
        <f t="shared" si="11"/>
        <v>1</v>
      </c>
      <c r="BJ16">
        <f t="shared" si="11"/>
        <v>0</v>
      </c>
      <c r="BK16">
        <f t="shared" si="11"/>
        <v>1</v>
      </c>
      <c r="BL16">
        <f t="shared" si="11"/>
        <v>0</v>
      </c>
      <c r="BM16">
        <f t="shared" si="11"/>
        <v>0</v>
      </c>
      <c r="BN16">
        <f t="shared" si="11"/>
        <v>1</v>
      </c>
      <c r="BO16">
        <f t="shared" si="11"/>
        <v>1</v>
      </c>
    </row>
    <row r="17" spans="2:67" ht="15.75" x14ac:dyDescent="0.25">
      <c r="B17" s="22" t="s">
        <v>2</v>
      </c>
      <c r="C17" s="23" t="s">
        <v>25</v>
      </c>
      <c r="D17" s="23">
        <v>2</v>
      </c>
      <c r="E17" s="23">
        <v>1</v>
      </c>
      <c r="F17" s="24" t="s">
        <v>38</v>
      </c>
      <c r="H17" s="22" t="s">
        <v>2</v>
      </c>
      <c r="I17" s="23" t="s">
        <v>25</v>
      </c>
      <c r="J17" s="23">
        <v>2</v>
      </c>
      <c r="K17" s="23">
        <v>0</v>
      </c>
      <c r="L17" s="24" t="s">
        <v>22</v>
      </c>
      <c r="N17" s="22" t="s">
        <v>2</v>
      </c>
      <c r="O17" s="23" t="s">
        <v>25</v>
      </c>
      <c r="P17" s="23">
        <v>2</v>
      </c>
      <c r="Q17" s="23">
        <v>1</v>
      </c>
      <c r="R17" s="24" t="s">
        <v>24</v>
      </c>
      <c r="BF17" s="25" t="s">
        <v>38</v>
      </c>
      <c r="BG17">
        <f t="shared" si="12"/>
        <v>0</v>
      </c>
      <c r="BH17">
        <f t="shared" si="11"/>
        <v>0</v>
      </c>
      <c r="BI17">
        <f t="shared" si="11"/>
        <v>0</v>
      </c>
      <c r="BJ17">
        <f t="shared" si="11"/>
        <v>0</v>
      </c>
      <c r="BK17">
        <f t="shared" si="11"/>
        <v>0</v>
      </c>
      <c r="BL17">
        <f t="shared" si="11"/>
        <v>0</v>
      </c>
      <c r="BM17">
        <f t="shared" si="11"/>
        <v>2</v>
      </c>
      <c r="BN17">
        <f t="shared" si="11"/>
        <v>0</v>
      </c>
      <c r="BO17">
        <f t="shared" si="11"/>
        <v>0</v>
      </c>
    </row>
    <row r="18" spans="2:67" ht="15.75" x14ac:dyDescent="0.25">
      <c r="B18" s="2"/>
      <c r="C18" s="1" t="s">
        <v>36</v>
      </c>
      <c r="D18" s="1">
        <v>1</v>
      </c>
      <c r="E18" s="1">
        <v>2</v>
      </c>
      <c r="F18" s="3" t="s">
        <v>37</v>
      </c>
      <c r="H18" s="2"/>
      <c r="I18" s="1" t="s">
        <v>23</v>
      </c>
      <c r="J18" s="1">
        <v>2</v>
      </c>
      <c r="K18" s="1">
        <v>1</v>
      </c>
      <c r="L18" s="3" t="s">
        <v>38</v>
      </c>
      <c r="N18" s="2"/>
      <c r="O18" s="1" t="s">
        <v>20</v>
      </c>
      <c r="P18" s="1">
        <v>2</v>
      </c>
      <c r="Q18" s="1">
        <v>0</v>
      </c>
      <c r="R18" s="3" t="s">
        <v>22</v>
      </c>
      <c r="BF18" s="25" t="s">
        <v>23</v>
      </c>
      <c r="BG18">
        <f t="shared" si="12"/>
        <v>0</v>
      </c>
      <c r="BH18">
        <f t="shared" si="11"/>
        <v>0</v>
      </c>
      <c r="BI18">
        <f t="shared" si="11"/>
        <v>1</v>
      </c>
      <c r="BJ18">
        <f t="shared" si="11"/>
        <v>2</v>
      </c>
      <c r="BK18">
        <f t="shared" si="11"/>
        <v>2</v>
      </c>
      <c r="BL18">
        <f t="shared" si="11"/>
        <v>0</v>
      </c>
      <c r="BM18">
        <f t="shared" si="11"/>
        <v>1</v>
      </c>
      <c r="BN18">
        <f t="shared" si="11"/>
        <v>1</v>
      </c>
      <c r="BO18">
        <f t="shared" si="11"/>
        <v>1</v>
      </c>
    </row>
    <row r="19" spans="2:67" ht="16.5" thickBot="1" x14ac:dyDescent="0.3">
      <c r="B19" s="4"/>
      <c r="C19" s="5" t="s">
        <v>22</v>
      </c>
      <c r="D19" s="5">
        <v>1</v>
      </c>
      <c r="E19" s="5">
        <v>2</v>
      </c>
      <c r="F19" s="6" t="s">
        <v>23</v>
      </c>
      <c r="H19" s="4"/>
      <c r="I19" s="5" t="s">
        <v>24</v>
      </c>
      <c r="J19" s="5">
        <v>2</v>
      </c>
      <c r="K19" s="5">
        <v>0</v>
      </c>
      <c r="L19" s="6" t="s">
        <v>37</v>
      </c>
      <c r="N19" s="4"/>
      <c r="O19" s="5" t="s">
        <v>37</v>
      </c>
      <c r="P19" s="5">
        <v>1</v>
      </c>
      <c r="Q19" s="5">
        <v>2</v>
      </c>
      <c r="R19" s="6" t="s">
        <v>21</v>
      </c>
      <c r="BF19" s="25" t="s">
        <v>24</v>
      </c>
      <c r="BG19">
        <f t="shared" si="12"/>
        <v>1</v>
      </c>
      <c r="BH19">
        <f t="shared" si="11"/>
        <v>1</v>
      </c>
      <c r="BI19">
        <f t="shared" si="11"/>
        <v>0</v>
      </c>
      <c r="BJ19">
        <f t="shared" si="11"/>
        <v>1</v>
      </c>
      <c r="BK19">
        <f t="shared" si="11"/>
        <v>0</v>
      </c>
      <c r="BL19">
        <f t="shared" si="11"/>
        <v>0</v>
      </c>
      <c r="BM19">
        <f t="shared" si="11"/>
        <v>0</v>
      </c>
      <c r="BN19">
        <f t="shared" si="11"/>
        <v>1</v>
      </c>
      <c r="BO19">
        <f t="shared" si="11"/>
        <v>0</v>
      </c>
    </row>
    <row r="20" spans="2:67" ht="15.75" x14ac:dyDescent="0.25">
      <c r="B20" s="22" t="s">
        <v>3</v>
      </c>
      <c r="C20" s="23" t="s">
        <v>25</v>
      </c>
      <c r="D20" s="23">
        <v>2</v>
      </c>
      <c r="E20" s="23">
        <v>0</v>
      </c>
      <c r="F20" s="24" t="s">
        <v>36</v>
      </c>
      <c r="H20" s="22" t="s">
        <v>3</v>
      </c>
      <c r="I20" s="23" t="s">
        <v>36</v>
      </c>
      <c r="J20" s="23">
        <v>0</v>
      </c>
      <c r="K20" s="23">
        <v>2</v>
      </c>
      <c r="L20" s="24" t="s">
        <v>20</v>
      </c>
      <c r="N20" s="22" t="s">
        <v>3</v>
      </c>
      <c r="O20" s="23" t="s">
        <v>23</v>
      </c>
      <c r="P20" s="23">
        <v>2</v>
      </c>
      <c r="Q20" s="23">
        <v>0</v>
      </c>
      <c r="R20" s="24" t="s">
        <v>24</v>
      </c>
      <c r="BF20" s="25" t="s">
        <v>37</v>
      </c>
      <c r="BG20">
        <f t="shared" si="12"/>
        <v>0</v>
      </c>
      <c r="BH20">
        <f t="shared" si="11"/>
        <v>0</v>
      </c>
      <c r="BI20">
        <f t="shared" si="11"/>
        <v>1</v>
      </c>
      <c r="BJ20">
        <f t="shared" si="11"/>
        <v>0</v>
      </c>
      <c r="BK20">
        <f t="shared" si="11"/>
        <v>1</v>
      </c>
      <c r="BL20">
        <f t="shared" si="11"/>
        <v>0</v>
      </c>
      <c r="BM20">
        <f t="shared" si="11"/>
        <v>0</v>
      </c>
      <c r="BN20">
        <f t="shared" si="11"/>
        <v>0</v>
      </c>
      <c r="BO20">
        <f t="shared" si="11"/>
        <v>0</v>
      </c>
    </row>
    <row r="21" spans="2:67" ht="15.75" x14ac:dyDescent="0.25">
      <c r="B21" s="2"/>
      <c r="C21" s="1" t="s">
        <v>21</v>
      </c>
      <c r="D21" s="1">
        <v>2</v>
      </c>
      <c r="E21" s="1">
        <v>1</v>
      </c>
      <c r="F21" s="3" t="s">
        <v>38</v>
      </c>
      <c r="H21" s="2"/>
      <c r="I21" s="1" t="s">
        <v>24</v>
      </c>
      <c r="J21" s="1">
        <v>1</v>
      </c>
      <c r="K21" s="1">
        <v>2</v>
      </c>
      <c r="L21" s="3" t="s">
        <v>21</v>
      </c>
      <c r="N21" s="2"/>
      <c r="O21" s="1" t="s">
        <v>38</v>
      </c>
      <c r="P21" s="1">
        <v>0</v>
      </c>
      <c r="Q21" s="1">
        <v>2</v>
      </c>
      <c r="R21" s="3" t="s">
        <v>37</v>
      </c>
      <c r="BF21" s="25" t="s">
        <v>25</v>
      </c>
      <c r="BG21">
        <f t="shared" si="12"/>
        <v>1</v>
      </c>
      <c r="BH21">
        <f t="shared" si="11"/>
        <v>2</v>
      </c>
      <c r="BI21">
        <f t="shared" si="11"/>
        <v>1</v>
      </c>
      <c r="BJ21">
        <f t="shared" si="11"/>
        <v>1</v>
      </c>
      <c r="BK21">
        <f t="shared" si="11"/>
        <v>2</v>
      </c>
      <c r="BL21">
        <f t="shared" si="11"/>
        <v>0</v>
      </c>
      <c r="BM21">
        <f t="shared" si="11"/>
        <v>1</v>
      </c>
      <c r="BN21">
        <f t="shared" si="11"/>
        <v>1</v>
      </c>
      <c r="BO21">
        <f t="shared" si="11"/>
        <v>0</v>
      </c>
    </row>
    <row r="22" spans="2:67" ht="15.75" thickBot="1" x14ac:dyDescent="0.3">
      <c r="B22" s="4"/>
      <c r="C22" s="5" t="s">
        <v>20</v>
      </c>
      <c r="D22" s="5">
        <v>0</v>
      </c>
      <c r="E22" s="5">
        <v>2</v>
      </c>
      <c r="F22" s="6" t="s">
        <v>24</v>
      </c>
      <c r="H22" s="4"/>
      <c r="I22" s="5" t="s">
        <v>38</v>
      </c>
      <c r="J22" s="5">
        <v>0</v>
      </c>
      <c r="K22" s="5">
        <v>2</v>
      </c>
      <c r="L22" s="6" t="s">
        <v>22</v>
      </c>
      <c r="N22" s="4"/>
      <c r="O22" s="5" t="s">
        <v>25</v>
      </c>
      <c r="P22" s="5">
        <v>2</v>
      </c>
      <c r="Q22" s="5">
        <v>1</v>
      </c>
      <c r="R22" s="6" t="s">
        <v>20</v>
      </c>
    </row>
    <row r="24" spans="2:67" ht="15.75" thickBot="1" x14ac:dyDescent="0.3">
      <c r="B24" s="65" t="s">
        <v>6</v>
      </c>
      <c r="C24" s="66"/>
      <c r="D24" s="66"/>
      <c r="E24" s="66"/>
      <c r="F24" s="67"/>
      <c r="H24" s="65" t="s">
        <v>7</v>
      </c>
      <c r="I24" s="66"/>
      <c r="J24" s="66"/>
      <c r="K24" s="66"/>
      <c r="L24" s="67"/>
      <c r="N24" s="65" t="s">
        <v>8</v>
      </c>
      <c r="O24" s="66"/>
      <c r="P24" s="66"/>
      <c r="Q24" s="66"/>
      <c r="R24" s="67"/>
    </row>
    <row r="25" spans="2:67" x14ac:dyDescent="0.25">
      <c r="B25" s="22" t="s">
        <v>1</v>
      </c>
      <c r="C25" s="23" t="s">
        <v>23</v>
      </c>
      <c r="D25" s="23">
        <v>2</v>
      </c>
      <c r="E25" s="23">
        <v>0</v>
      </c>
      <c r="F25" s="24" t="s">
        <v>36</v>
      </c>
      <c r="H25" s="22" t="s">
        <v>1</v>
      </c>
      <c r="I25" s="23" t="s">
        <v>38</v>
      </c>
      <c r="J25" s="23">
        <v>2</v>
      </c>
      <c r="K25" s="23">
        <v>1</v>
      </c>
      <c r="L25" s="24" t="s">
        <v>24</v>
      </c>
      <c r="N25" s="22" t="s">
        <v>1</v>
      </c>
      <c r="O25" s="23" t="s">
        <v>24</v>
      </c>
      <c r="P25" s="23">
        <v>0</v>
      </c>
      <c r="Q25" s="23">
        <v>2</v>
      </c>
      <c r="R25" s="24" t="s">
        <v>38</v>
      </c>
    </row>
    <row r="26" spans="2:67" x14ac:dyDescent="0.25">
      <c r="B26" s="2"/>
      <c r="C26" s="1" t="s">
        <v>25</v>
      </c>
      <c r="D26" s="1">
        <v>2</v>
      </c>
      <c r="E26" s="1">
        <v>0</v>
      </c>
      <c r="F26" s="3" t="s">
        <v>37</v>
      </c>
      <c r="H26" s="2"/>
      <c r="I26" s="1" t="s">
        <v>22</v>
      </c>
      <c r="J26" s="1"/>
      <c r="K26" s="1"/>
      <c r="L26" s="3" t="s">
        <v>36</v>
      </c>
      <c r="N26" s="2"/>
      <c r="O26" s="1" t="s">
        <v>36</v>
      </c>
      <c r="P26" s="1">
        <v>0</v>
      </c>
      <c r="Q26" s="1">
        <v>2</v>
      </c>
      <c r="R26" s="3" t="s">
        <v>22</v>
      </c>
    </row>
    <row r="27" spans="2:67" ht="15.75" thickBot="1" x14ac:dyDescent="0.3">
      <c r="B27" s="4"/>
      <c r="C27" s="5"/>
      <c r="D27" s="5"/>
      <c r="E27" s="5"/>
      <c r="F27" s="6"/>
      <c r="H27" s="4"/>
      <c r="I27" s="5"/>
      <c r="J27" s="5"/>
      <c r="K27" s="5"/>
      <c r="L27" s="6"/>
      <c r="N27" s="4"/>
      <c r="O27" s="5"/>
      <c r="P27" s="5"/>
      <c r="Q27" s="5"/>
      <c r="R27" s="6"/>
    </row>
    <row r="28" spans="2:67" x14ac:dyDescent="0.25">
      <c r="B28" s="22" t="s">
        <v>2</v>
      </c>
      <c r="C28" s="23" t="s">
        <v>36</v>
      </c>
      <c r="D28" s="23">
        <v>2</v>
      </c>
      <c r="E28" s="23">
        <v>1</v>
      </c>
      <c r="F28" s="24" t="s">
        <v>24</v>
      </c>
      <c r="H28" s="22" t="s">
        <v>2</v>
      </c>
      <c r="I28" s="23" t="s">
        <v>25</v>
      </c>
      <c r="J28" s="23">
        <v>2</v>
      </c>
      <c r="K28" s="23">
        <v>0</v>
      </c>
      <c r="L28" s="24" t="s">
        <v>21</v>
      </c>
      <c r="N28" s="22" t="s">
        <v>2</v>
      </c>
      <c r="O28" s="23" t="s">
        <v>38</v>
      </c>
      <c r="P28" s="23">
        <v>0</v>
      </c>
      <c r="Q28" s="23">
        <v>2</v>
      </c>
      <c r="R28" s="24" t="s">
        <v>23</v>
      </c>
    </row>
    <row r="29" spans="2:67" x14ac:dyDescent="0.25">
      <c r="B29" s="2"/>
      <c r="C29" s="1" t="s">
        <v>22</v>
      </c>
      <c r="D29" s="1">
        <v>2</v>
      </c>
      <c r="E29" s="1">
        <v>1</v>
      </c>
      <c r="F29" s="3" t="s">
        <v>21</v>
      </c>
      <c r="H29" s="2"/>
      <c r="I29" s="1" t="s">
        <v>20</v>
      </c>
      <c r="J29" s="1">
        <v>2</v>
      </c>
      <c r="K29" s="1">
        <v>0</v>
      </c>
      <c r="L29" s="3" t="s">
        <v>37</v>
      </c>
      <c r="N29" s="2"/>
      <c r="O29" s="1" t="s">
        <v>37</v>
      </c>
      <c r="P29" s="1">
        <v>1</v>
      </c>
      <c r="Q29" s="1">
        <v>2</v>
      </c>
      <c r="R29" s="3" t="s">
        <v>20</v>
      </c>
    </row>
    <row r="30" spans="2:67" ht="15.75" thickBot="1" x14ac:dyDescent="0.3">
      <c r="B30" s="4"/>
      <c r="C30" s="5" t="s">
        <v>20</v>
      </c>
      <c r="D30" s="5">
        <v>2</v>
      </c>
      <c r="E30" s="5">
        <v>0</v>
      </c>
      <c r="F30" s="6" t="s">
        <v>38</v>
      </c>
      <c r="H30" s="4"/>
      <c r="I30" s="5" t="s">
        <v>23</v>
      </c>
      <c r="J30" s="5">
        <v>2</v>
      </c>
      <c r="K30" s="5">
        <v>0</v>
      </c>
      <c r="L30" s="6" t="s">
        <v>22</v>
      </c>
      <c r="N30" s="4"/>
      <c r="O30" s="5" t="s">
        <v>21</v>
      </c>
      <c r="P30" s="5">
        <v>0</v>
      </c>
      <c r="Q30" s="5">
        <v>2</v>
      </c>
      <c r="R30" s="6" t="s">
        <v>25</v>
      </c>
    </row>
    <row r="31" spans="2:67" x14ac:dyDescent="0.25">
      <c r="B31" s="22" t="s">
        <v>3</v>
      </c>
      <c r="C31" s="23" t="s">
        <v>37</v>
      </c>
      <c r="D31" s="23">
        <v>0</v>
      </c>
      <c r="E31" s="23">
        <v>2</v>
      </c>
      <c r="F31" s="24" t="s">
        <v>23</v>
      </c>
      <c r="H31" s="22" t="s">
        <v>3</v>
      </c>
      <c r="I31" s="23" t="s">
        <v>38</v>
      </c>
      <c r="J31" s="23">
        <v>0</v>
      </c>
      <c r="K31" s="23">
        <v>2</v>
      </c>
      <c r="L31" s="24" t="s">
        <v>25</v>
      </c>
      <c r="N31" s="22" t="s">
        <v>3</v>
      </c>
      <c r="O31" s="23" t="s">
        <v>20</v>
      </c>
      <c r="P31" s="23">
        <v>0</v>
      </c>
      <c r="Q31" s="23">
        <v>2</v>
      </c>
      <c r="R31" s="24" t="s">
        <v>36</v>
      </c>
    </row>
    <row r="32" spans="2:67" x14ac:dyDescent="0.25">
      <c r="B32" s="2"/>
      <c r="C32" s="1" t="s">
        <v>24</v>
      </c>
      <c r="D32" s="1">
        <v>2</v>
      </c>
      <c r="E32" s="1">
        <v>0</v>
      </c>
      <c r="F32" s="3" t="s">
        <v>22</v>
      </c>
      <c r="H32" s="2"/>
      <c r="I32" s="1" t="s">
        <v>24</v>
      </c>
      <c r="J32" s="1">
        <v>0</v>
      </c>
      <c r="K32" s="1">
        <v>2</v>
      </c>
      <c r="L32" s="3" t="s">
        <v>20</v>
      </c>
      <c r="N32" s="2"/>
      <c r="O32" s="1" t="s">
        <v>21</v>
      </c>
      <c r="P32" s="1">
        <v>0</v>
      </c>
      <c r="Q32" s="1">
        <v>2</v>
      </c>
      <c r="R32" s="3" t="s">
        <v>24</v>
      </c>
    </row>
    <row r="33" spans="2:18" ht="15.75" thickBot="1" x14ac:dyDescent="0.3">
      <c r="B33" s="4"/>
      <c r="C33" s="5" t="s">
        <v>21</v>
      </c>
      <c r="D33" s="5">
        <v>0</v>
      </c>
      <c r="E33" s="5">
        <v>2</v>
      </c>
      <c r="F33" s="6" t="s">
        <v>20</v>
      </c>
      <c r="H33" s="4"/>
      <c r="I33" s="5" t="s">
        <v>37</v>
      </c>
      <c r="J33" s="5">
        <v>1</v>
      </c>
      <c r="K33" s="5">
        <v>2</v>
      </c>
      <c r="L33" s="6" t="s">
        <v>36</v>
      </c>
      <c r="N33" s="4"/>
      <c r="O33" s="5" t="s">
        <v>22</v>
      </c>
      <c r="P33" s="5">
        <v>2</v>
      </c>
      <c r="Q33" s="5">
        <v>1</v>
      </c>
      <c r="R33" s="6" t="s">
        <v>25</v>
      </c>
    </row>
    <row r="35" spans="2:18" ht="15.75" thickBot="1" x14ac:dyDescent="0.3">
      <c r="B35" s="65" t="s">
        <v>9</v>
      </c>
      <c r="C35" s="66"/>
      <c r="D35" s="66"/>
      <c r="E35" s="66"/>
      <c r="F35" s="67"/>
      <c r="H35" s="65" t="s">
        <v>10</v>
      </c>
      <c r="I35" s="66"/>
      <c r="J35" s="66"/>
      <c r="K35" s="66"/>
      <c r="L35" s="67"/>
      <c r="N35" s="65" t="s">
        <v>11</v>
      </c>
      <c r="O35" s="66"/>
      <c r="P35" s="66"/>
      <c r="Q35" s="66"/>
      <c r="R35" s="67"/>
    </row>
    <row r="36" spans="2:18" x14ac:dyDescent="0.25">
      <c r="B36" s="22" t="s">
        <v>1</v>
      </c>
      <c r="C36" s="23" t="s">
        <v>38</v>
      </c>
      <c r="D36" s="23"/>
      <c r="E36" s="23"/>
      <c r="F36" s="24" t="s">
        <v>21</v>
      </c>
      <c r="H36" s="22" t="s">
        <v>1</v>
      </c>
      <c r="I36" s="23" t="s">
        <v>20</v>
      </c>
      <c r="J36" s="23"/>
      <c r="K36" s="23"/>
      <c r="L36" s="24" t="s">
        <v>21</v>
      </c>
      <c r="N36" s="22" t="s">
        <v>1</v>
      </c>
      <c r="O36" s="23" t="s">
        <v>23</v>
      </c>
      <c r="P36" s="23"/>
      <c r="Q36" s="23"/>
      <c r="R36" s="24" t="s">
        <v>37</v>
      </c>
    </row>
    <row r="37" spans="2:18" x14ac:dyDescent="0.25">
      <c r="B37" s="2"/>
      <c r="C37" s="1" t="s">
        <v>36</v>
      </c>
      <c r="D37" s="1"/>
      <c r="E37" s="1"/>
      <c r="F37" s="3" t="s">
        <v>25</v>
      </c>
      <c r="H37" s="2"/>
      <c r="I37" s="1" t="s">
        <v>23</v>
      </c>
      <c r="J37" s="1"/>
      <c r="K37" s="1"/>
      <c r="L37" s="3" t="s">
        <v>25</v>
      </c>
      <c r="N37" s="2"/>
      <c r="O37" s="1" t="s">
        <v>38</v>
      </c>
      <c r="P37" s="1"/>
      <c r="Q37" s="1"/>
      <c r="R37" s="3" t="s">
        <v>20</v>
      </c>
    </row>
    <row r="38" spans="2:18" ht="15.75" thickBot="1" x14ac:dyDescent="0.3">
      <c r="B38" s="4"/>
      <c r="C38" s="5"/>
      <c r="D38" s="5"/>
      <c r="E38" s="5"/>
      <c r="F38" s="6"/>
      <c r="H38" s="4"/>
      <c r="I38" s="5"/>
      <c r="J38" s="5"/>
      <c r="K38" s="5"/>
      <c r="L38" s="6"/>
      <c r="N38" s="4"/>
      <c r="O38" s="5"/>
      <c r="P38" s="5"/>
      <c r="Q38" s="5"/>
      <c r="R38" s="6"/>
    </row>
    <row r="39" spans="2:18" x14ac:dyDescent="0.25">
      <c r="B39" s="22" t="s">
        <v>2</v>
      </c>
      <c r="C39" s="23" t="s">
        <v>20</v>
      </c>
      <c r="D39" s="23"/>
      <c r="E39" s="23"/>
      <c r="F39" s="24" t="s">
        <v>23</v>
      </c>
      <c r="H39" s="22" t="s">
        <v>2</v>
      </c>
      <c r="I39" s="23" t="s">
        <v>22</v>
      </c>
      <c r="J39" s="23"/>
      <c r="K39" s="23"/>
      <c r="L39" s="24" t="s">
        <v>24</v>
      </c>
      <c r="N39" s="22" t="s">
        <v>2</v>
      </c>
      <c r="O39" s="23" t="s">
        <v>24</v>
      </c>
      <c r="P39" s="23"/>
      <c r="Q39" s="23"/>
      <c r="R39" s="24" t="s">
        <v>36</v>
      </c>
    </row>
    <row r="40" spans="2:18" x14ac:dyDescent="0.25">
      <c r="B40" s="2"/>
      <c r="C40" s="1" t="s">
        <v>21</v>
      </c>
      <c r="D40" s="1"/>
      <c r="E40" s="1"/>
      <c r="F40" s="3" t="s">
        <v>37</v>
      </c>
      <c r="H40" s="2"/>
      <c r="I40" s="1" t="s">
        <v>37</v>
      </c>
      <c r="J40" s="1"/>
      <c r="K40" s="1"/>
      <c r="L40" s="3" t="s">
        <v>25</v>
      </c>
      <c r="N40" s="2"/>
      <c r="O40" s="1" t="s">
        <v>21</v>
      </c>
      <c r="P40" s="1"/>
      <c r="Q40" s="1"/>
      <c r="R40" s="3" t="s">
        <v>22</v>
      </c>
    </row>
    <row r="41" spans="2:18" ht="15.75" thickBot="1" x14ac:dyDescent="0.3">
      <c r="B41" s="4"/>
      <c r="C41" s="5" t="s">
        <v>38</v>
      </c>
      <c r="D41" s="5"/>
      <c r="E41" s="5"/>
      <c r="F41" s="6" t="s">
        <v>36</v>
      </c>
      <c r="H41" s="4"/>
      <c r="I41" s="5" t="s">
        <v>36</v>
      </c>
      <c r="J41" s="5"/>
      <c r="K41" s="5"/>
      <c r="L41" s="6" t="s">
        <v>23</v>
      </c>
      <c r="N41" s="4"/>
      <c r="O41" s="5" t="s">
        <v>37</v>
      </c>
      <c r="P41" s="5"/>
      <c r="Q41" s="5"/>
      <c r="R41" s="6" t="s">
        <v>38</v>
      </c>
    </row>
    <row r="42" spans="2:18" x14ac:dyDescent="0.25">
      <c r="B42" s="22" t="s">
        <v>3</v>
      </c>
      <c r="C42" s="23" t="s">
        <v>20</v>
      </c>
      <c r="D42" s="23"/>
      <c r="E42" s="23"/>
      <c r="F42" s="24" t="s">
        <v>25</v>
      </c>
      <c r="H42" s="22" t="s">
        <v>3</v>
      </c>
      <c r="I42" s="23" t="s">
        <v>22</v>
      </c>
      <c r="J42" s="23"/>
      <c r="K42" s="23"/>
      <c r="L42" s="24" t="s">
        <v>38</v>
      </c>
      <c r="N42" s="22" t="s">
        <v>3</v>
      </c>
      <c r="O42" s="23" t="s">
        <v>22</v>
      </c>
      <c r="P42" s="23"/>
      <c r="Q42" s="23"/>
      <c r="R42" s="24" t="s">
        <v>20</v>
      </c>
    </row>
    <row r="43" spans="2:18" x14ac:dyDescent="0.25">
      <c r="B43" s="2"/>
      <c r="C43" s="1" t="s">
        <v>37</v>
      </c>
      <c r="D43" s="1"/>
      <c r="E43" s="1"/>
      <c r="F43" s="3" t="s">
        <v>22</v>
      </c>
      <c r="H43" s="2"/>
      <c r="I43" s="1" t="s">
        <v>37</v>
      </c>
      <c r="J43" s="1"/>
      <c r="K43" s="1"/>
      <c r="L43" s="3" t="s">
        <v>24</v>
      </c>
      <c r="N43" s="2"/>
      <c r="O43" s="1" t="s">
        <v>23</v>
      </c>
      <c r="P43" s="1"/>
      <c r="Q43" s="1"/>
      <c r="R43" s="3" t="s">
        <v>21</v>
      </c>
    </row>
    <row r="44" spans="2:18" ht="15.75" thickBot="1" x14ac:dyDescent="0.3">
      <c r="B44" s="4"/>
      <c r="C44" s="5" t="s">
        <v>24</v>
      </c>
      <c r="D44" s="5"/>
      <c r="E44" s="5"/>
      <c r="F44" s="6" t="s">
        <v>23</v>
      </c>
      <c r="H44" s="4"/>
      <c r="I44" s="5" t="s">
        <v>36</v>
      </c>
      <c r="J44" s="5"/>
      <c r="K44" s="5"/>
      <c r="L44" s="6" t="s">
        <v>21</v>
      </c>
      <c r="N44" s="4"/>
      <c r="O44" s="5" t="s">
        <v>24</v>
      </c>
      <c r="P44" s="5"/>
      <c r="Q44" s="5"/>
      <c r="R44" s="6" t="s">
        <v>25</v>
      </c>
    </row>
    <row r="45" spans="2:18" ht="15.75" thickBot="1" x14ac:dyDescent="0.3"/>
    <row r="46" spans="2:18" ht="15.75" thickBot="1" x14ac:dyDescent="0.3">
      <c r="B46" s="56" t="s">
        <v>39</v>
      </c>
      <c r="C46" s="57"/>
      <c r="D46" s="57"/>
      <c r="E46" s="57"/>
      <c r="F46" s="58"/>
      <c r="H46" s="85" t="s">
        <v>12</v>
      </c>
      <c r="I46" s="86"/>
      <c r="J46" s="86"/>
      <c r="K46" s="86"/>
      <c r="L46" s="86"/>
      <c r="M46" s="86"/>
      <c r="N46" s="86"/>
      <c r="O46" s="86"/>
      <c r="P46" s="86"/>
      <c r="Q46" s="86"/>
      <c r="R46" s="87"/>
    </row>
    <row r="47" spans="2:18" x14ac:dyDescent="0.25">
      <c r="B47" s="2" t="s">
        <v>40</v>
      </c>
      <c r="C47" s="1"/>
      <c r="D47" s="1"/>
      <c r="E47" s="1"/>
      <c r="F47" s="3"/>
      <c r="H47" s="9"/>
      <c r="R47" s="10"/>
    </row>
    <row r="48" spans="2:18" ht="15.75" thickBot="1" x14ac:dyDescent="0.3">
      <c r="B48" s="2" t="s">
        <v>41</v>
      </c>
      <c r="C48" s="1"/>
      <c r="D48" s="1"/>
      <c r="E48" s="1"/>
      <c r="F48" s="3"/>
      <c r="H48" s="92" t="s">
        <v>13</v>
      </c>
      <c r="I48" s="93"/>
      <c r="J48" s="95" t="s">
        <v>15</v>
      </c>
      <c r="K48" s="95"/>
      <c r="L48" s="95"/>
      <c r="R48" s="10"/>
    </row>
    <row r="49" spans="2:19" ht="16.5" thickTop="1" thickBot="1" x14ac:dyDescent="0.3">
      <c r="B49" s="2" t="s">
        <v>42</v>
      </c>
      <c r="C49" s="1"/>
      <c r="D49" s="1"/>
      <c r="E49" s="1"/>
      <c r="F49" s="3"/>
      <c r="H49" s="17" t="str">
        <f>B5</f>
        <v>NAVI</v>
      </c>
      <c r="I49" s="37"/>
      <c r="J49" s="81" t="str">
        <f>B4</f>
        <v>AE</v>
      </c>
      <c r="K49" s="82"/>
      <c r="L49" s="37"/>
      <c r="M49" s="94" t="s">
        <v>50</v>
      </c>
      <c r="N49" s="94"/>
      <c r="O49" s="94"/>
      <c r="R49" s="10"/>
    </row>
    <row r="50" spans="2:19" ht="16.5" thickTop="1" thickBot="1" x14ac:dyDescent="0.3">
      <c r="B50" s="2" t="s">
        <v>43</v>
      </c>
      <c r="C50" s="1"/>
      <c r="D50" s="1"/>
      <c r="E50" s="1"/>
      <c r="F50" s="3"/>
      <c r="H50" s="18" t="str">
        <f>B8</f>
        <v>ONIC</v>
      </c>
      <c r="I50" s="38"/>
      <c r="J50" s="81" t="str">
        <f>IF(I49&gt;I50, H49, H50)</f>
        <v>ONIC</v>
      </c>
      <c r="K50" s="82"/>
      <c r="L50" s="38"/>
      <c r="M50" s="79" t="str">
        <f>IF((L49&gt;L50),J49,J50)</f>
        <v>ONIC</v>
      </c>
      <c r="N50" s="80"/>
      <c r="O50" s="37"/>
      <c r="P50" s="90" t="s">
        <v>16</v>
      </c>
      <c r="Q50" s="90"/>
      <c r="R50" s="91"/>
    </row>
    <row r="51" spans="2:19" ht="16.5" thickTop="1" thickBot="1" x14ac:dyDescent="0.3">
      <c r="B51" s="2" t="s">
        <v>44</v>
      </c>
      <c r="C51" s="1"/>
      <c r="D51" s="1"/>
      <c r="E51" s="1"/>
      <c r="F51" s="3"/>
      <c r="H51" s="18" t="str">
        <f>B6</f>
        <v>EVOS</v>
      </c>
      <c r="I51" s="37"/>
      <c r="J51" s="81" t="str">
        <f>B3</f>
        <v>TLID</v>
      </c>
      <c r="K51" s="82"/>
      <c r="L51" s="37"/>
      <c r="M51" s="79" t="str">
        <f>IF((L51&gt;L52),J51,J52)</f>
        <v>BTR by VIT</v>
      </c>
      <c r="N51" s="80"/>
      <c r="O51" s="38"/>
      <c r="P51" s="88" t="str">
        <f>IF((O50&gt;O51),M50,M51)</f>
        <v>BTR by VIT</v>
      </c>
      <c r="Q51" s="89"/>
      <c r="R51" s="44"/>
      <c r="S51" s="9"/>
    </row>
    <row r="52" spans="2:19" ht="16.5" thickTop="1" thickBot="1" x14ac:dyDescent="0.3">
      <c r="B52" s="2" t="s">
        <v>45</v>
      </c>
      <c r="C52" s="1"/>
      <c r="D52" s="1"/>
      <c r="E52" s="1"/>
      <c r="F52" s="3"/>
      <c r="H52" s="18" t="str">
        <f>B7</f>
        <v>BTR by VIT</v>
      </c>
      <c r="I52" s="38"/>
      <c r="J52" s="81" t="str">
        <f>IF(I51&gt;I52, H51, H52)</f>
        <v>BTR by VIT</v>
      </c>
      <c r="K52" s="82"/>
      <c r="L52" s="38"/>
      <c r="M52" s="83" t="str">
        <f>IF((O50&lt;O51),M50,M51)</f>
        <v>BTR by VIT</v>
      </c>
      <c r="N52" s="84"/>
      <c r="O52" s="37"/>
      <c r="P52" s="88" t="str">
        <f>IF((O52&gt;O53),M52,M53)</f>
        <v>BTR by VIT</v>
      </c>
      <c r="Q52" s="89"/>
      <c r="R52" s="45"/>
      <c r="S52" s="9"/>
    </row>
    <row r="53" spans="2:19" ht="16.5" thickTop="1" thickBot="1" x14ac:dyDescent="0.3">
      <c r="B53" s="2" t="s">
        <v>46</v>
      </c>
      <c r="C53" s="1"/>
      <c r="D53" s="1"/>
      <c r="E53" s="1"/>
      <c r="F53" s="3"/>
      <c r="H53" s="92" t="s">
        <v>14</v>
      </c>
      <c r="I53" s="93"/>
      <c r="J53" s="73" t="str">
        <f>IF((L49&lt;L50),J49,J50)</f>
        <v>ONIC</v>
      </c>
      <c r="K53" s="74"/>
      <c r="L53" s="37"/>
      <c r="M53" s="83" t="str">
        <f>IF((L53&gt;L54),J53,J54)</f>
        <v>BTR by VIT</v>
      </c>
      <c r="N53" s="84"/>
      <c r="O53" s="38"/>
      <c r="P53" s="15"/>
      <c r="Q53" s="15"/>
      <c r="R53" s="16"/>
    </row>
    <row r="54" spans="2:19" ht="16.5" thickTop="1" thickBot="1" x14ac:dyDescent="0.3">
      <c r="B54" s="2" t="s">
        <v>47</v>
      </c>
      <c r="C54" s="1"/>
      <c r="D54" s="1"/>
      <c r="E54" s="1"/>
      <c r="F54" s="3"/>
      <c r="H54" s="9"/>
      <c r="J54" s="73" t="str">
        <f>IF((L51&lt;L52),J51,J52)</f>
        <v>BTR by VIT</v>
      </c>
      <c r="K54" s="74"/>
      <c r="L54" s="38"/>
      <c r="M54" s="76" t="s">
        <v>18</v>
      </c>
      <c r="N54" s="77"/>
      <c r="O54" s="78"/>
      <c r="R54" s="10"/>
    </row>
    <row r="55" spans="2:19" ht="16.5" thickTop="1" thickBot="1" x14ac:dyDescent="0.3">
      <c r="B55" s="4" t="s">
        <v>48</v>
      </c>
      <c r="C55" s="5"/>
      <c r="D55" s="5"/>
      <c r="E55" s="5"/>
      <c r="F55" s="6"/>
      <c r="H55" s="9"/>
      <c r="J55" s="75" t="s">
        <v>17</v>
      </c>
      <c r="K55" s="75"/>
      <c r="L55" s="75"/>
      <c r="R55" s="10"/>
    </row>
    <row r="56" spans="2:19" ht="15.75" thickBot="1" x14ac:dyDescent="0.3">
      <c r="H56" s="11"/>
      <c r="I56" s="12"/>
      <c r="J56" s="12"/>
      <c r="K56" s="12"/>
      <c r="L56" s="12"/>
      <c r="M56" s="12"/>
      <c r="N56" s="12"/>
      <c r="O56" s="12"/>
      <c r="P56" s="12"/>
      <c r="Q56" s="12"/>
      <c r="R56" s="13"/>
    </row>
    <row r="59" spans="2:19" x14ac:dyDescent="0.25">
      <c r="H59" s="43"/>
      <c r="J59" s="55"/>
      <c r="K59" s="55"/>
    </row>
    <row r="61" spans="2:19" x14ac:dyDescent="0.25">
      <c r="H61" s="43"/>
      <c r="J61" s="55"/>
      <c r="K61" s="55"/>
    </row>
  </sheetData>
  <mergeCells count="36">
    <mergeCell ref="M52:N52"/>
    <mergeCell ref="M53:N53"/>
    <mergeCell ref="H46:R46"/>
    <mergeCell ref="J49:K49"/>
    <mergeCell ref="P52:Q52"/>
    <mergeCell ref="J53:K53"/>
    <mergeCell ref="P50:R50"/>
    <mergeCell ref="P51:Q51"/>
    <mergeCell ref="H48:I48"/>
    <mergeCell ref="H53:I53"/>
    <mergeCell ref="M49:O49"/>
    <mergeCell ref="J48:L48"/>
    <mergeCell ref="A1:G1"/>
    <mergeCell ref="B13:F13"/>
    <mergeCell ref="B24:F24"/>
    <mergeCell ref="B35:F35"/>
    <mergeCell ref="H13:L13"/>
    <mergeCell ref="H24:L24"/>
    <mergeCell ref="H35:L35"/>
    <mergeCell ref="I1:L1"/>
    <mergeCell ref="J59:K59"/>
    <mergeCell ref="J61:K61"/>
    <mergeCell ref="B46:F46"/>
    <mergeCell ref="I2:R9"/>
    <mergeCell ref="I10:R10"/>
    <mergeCell ref="N13:R13"/>
    <mergeCell ref="N24:R24"/>
    <mergeCell ref="N35:R35"/>
    <mergeCell ref="J54:K54"/>
    <mergeCell ref="J55:L55"/>
    <mergeCell ref="M54:O54"/>
    <mergeCell ref="M50:N50"/>
    <mergeCell ref="M51:N51"/>
    <mergeCell ref="J51:K51"/>
    <mergeCell ref="J52:K52"/>
    <mergeCell ref="J50:K50"/>
  </mergeCells>
  <phoneticPr fontId="3" type="noConversion"/>
  <conditionalFormatting sqref="C14:C22">
    <cfRule type="expression" dxfId="124" priority="39">
      <formula>AND(ISNUMBER($D14),ISNUMBER($E14),$D14&lt;$E14)</formula>
    </cfRule>
    <cfRule type="expression" dxfId="123" priority="40">
      <formula>AND(ISNUMBER($D14),ISNUMBER($E14),$D14&gt;$E14)</formula>
    </cfRule>
  </conditionalFormatting>
  <conditionalFormatting sqref="C25:C33">
    <cfRule type="expression" dxfId="122" priority="35">
      <formula>AND(ISNUMBER($D25),ISNUMBER($E25),$D25&lt;$E25)</formula>
    </cfRule>
    <cfRule type="expression" dxfId="121" priority="36">
      <formula>AND(ISNUMBER($D25),ISNUMBER($E25),$D25&gt;$E25)</formula>
    </cfRule>
  </conditionalFormatting>
  <conditionalFormatting sqref="C36:C44">
    <cfRule type="expression" dxfId="120" priority="19">
      <formula>AND(ISNUMBER($D36),ISNUMBER($E36),$D36&lt;$E36)</formula>
    </cfRule>
    <cfRule type="expression" dxfId="119" priority="20">
      <formula>AND(ISNUMBER($D36),ISNUMBER($E36),$D36&gt;$E36)</formula>
    </cfRule>
  </conditionalFormatting>
  <conditionalFormatting sqref="C47:C55">
    <cfRule type="expression" dxfId="118" priority="15">
      <formula>AND(ISNUMBER($D47),ISNUMBER($E47),$D47&lt;$E47)</formula>
    </cfRule>
    <cfRule type="expression" dxfId="117" priority="16">
      <formula>AND(ISNUMBER($D47),ISNUMBER($E47),$D47&gt;$E47)</formula>
    </cfRule>
  </conditionalFormatting>
  <conditionalFormatting sqref="F14:F22">
    <cfRule type="expression" dxfId="116" priority="37">
      <formula>AND(ISNUMBER($D14),ISNUMBER($E14),$E14&lt;$D14)</formula>
    </cfRule>
    <cfRule type="expression" dxfId="115" priority="38">
      <formula>AND(ISNUMBER($D14),ISNUMBER($E14),$E14&gt;$D14)</formula>
    </cfRule>
  </conditionalFormatting>
  <conditionalFormatting sqref="F25:F33">
    <cfRule type="expression" dxfId="114" priority="33">
      <formula>AND(ISNUMBER($D25),ISNUMBER($E25),$E25&lt;$D25)</formula>
    </cfRule>
    <cfRule type="expression" dxfId="113" priority="34">
      <formula>AND(ISNUMBER($D25),ISNUMBER($E25),$E25&gt;$D25)</formula>
    </cfRule>
  </conditionalFormatting>
  <conditionalFormatting sqref="F36:F44">
    <cfRule type="expression" dxfId="112" priority="17">
      <formula>AND(ISNUMBER($D36),ISNUMBER($E36),$E36&lt;$D36)</formula>
    </cfRule>
    <cfRule type="expression" dxfId="111" priority="18">
      <formula>AND(ISNUMBER($D36),ISNUMBER($E36),$E36&gt;$D36)</formula>
    </cfRule>
  </conditionalFormatting>
  <conditionalFormatting sqref="F47:F55">
    <cfRule type="expression" dxfId="110" priority="13">
      <formula>AND(ISNUMBER($D47),ISNUMBER($E47),$E47&lt;$D47)</formula>
    </cfRule>
    <cfRule type="expression" dxfId="109" priority="14">
      <formula>AND(ISNUMBER($D47),ISNUMBER($E47),$E47&gt;$D47)</formula>
    </cfRule>
  </conditionalFormatting>
  <conditionalFormatting sqref="I14:I22">
    <cfRule type="expression" dxfId="108" priority="31">
      <formula>AND(ISNUMBER($J14),ISNUMBER($K14),$J14&lt;$K14)</formula>
    </cfRule>
    <cfRule type="expression" dxfId="107" priority="32">
      <formula>AND(ISNUMBER($J14),ISNUMBER($K14),$J14&gt;$K14)</formula>
    </cfRule>
  </conditionalFormatting>
  <conditionalFormatting sqref="I25:I33">
    <cfRule type="expression" dxfId="106" priority="27">
      <formula>AND(ISNUMBER($J25),ISNUMBER($K25),$J25&lt;$K25)</formula>
    </cfRule>
    <cfRule type="expression" dxfId="105" priority="28">
      <formula>AND(ISNUMBER($J25),ISNUMBER($K25),$J25&gt;$K25)</formula>
    </cfRule>
  </conditionalFormatting>
  <conditionalFormatting sqref="I36:I44">
    <cfRule type="expression" dxfId="104" priority="23">
      <formula>AND(ISNUMBER($J36),ISNUMBER($K36),$J36&lt;$K36)</formula>
    </cfRule>
    <cfRule type="expression" dxfId="103" priority="24">
      <formula>AND(ISNUMBER($J36),ISNUMBER($K36),$J36&gt;$K36)</formula>
    </cfRule>
  </conditionalFormatting>
  <conditionalFormatting sqref="L14:L22">
    <cfRule type="expression" dxfId="102" priority="29">
      <formula>AND(ISNUMBER($J14),ISNUMBER($K14),$J14&gt;$K14)</formula>
    </cfRule>
    <cfRule type="expression" dxfId="101" priority="30">
      <formula>AND(ISNUMBER($J14),ISNUMBER($K14),$J14&lt;$K14)</formula>
    </cfRule>
  </conditionalFormatting>
  <conditionalFormatting sqref="L25:L33">
    <cfRule type="expression" dxfId="100" priority="25">
      <formula>AND(ISNUMBER($J25),ISNUMBER($K25),$J25&gt;$K25)</formula>
    </cfRule>
    <cfRule type="expression" dxfId="99" priority="26">
      <formula>AND(ISNUMBER($J25),ISNUMBER($K25),$J25&lt;$K25)</formula>
    </cfRule>
  </conditionalFormatting>
  <conditionalFormatting sqref="L36:L44">
    <cfRule type="expression" dxfId="98" priority="21">
      <formula>AND(ISNUMBER($J36),ISNUMBER($K36),$J36&gt;$K36)</formula>
    </cfRule>
    <cfRule type="expression" dxfId="97" priority="22">
      <formula>AND(ISNUMBER($J36),ISNUMBER($K36),$J36&lt;$K36)</formula>
    </cfRule>
  </conditionalFormatting>
  <conditionalFormatting sqref="O14:O22">
    <cfRule type="expression" dxfId="96" priority="11">
      <formula>AND(ISNUMBER($P14),ISNUMBER($Q14),$P14&lt;$Q14)</formula>
    </cfRule>
    <cfRule type="expression" dxfId="95" priority="12">
      <formula>AND(ISNUMBER($P14),ISNUMBER($Q14),$P14&gt;$Q14)</formula>
    </cfRule>
  </conditionalFormatting>
  <conditionalFormatting sqref="O25:O33">
    <cfRule type="expression" dxfId="94" priority="7">
      <formula>AND(ISNUMBER($P25),ISNUMBER($Q25),$P25&lt;$Q25)</formula>
    </cfRule>
    <cfRule type="expression" dxfId="93" priority="8">
      <formula>AND(ISNUMBER($P25),ISNUMBER($Q25),$P25&gt;$Q25)</formula>
    </cfRule>
  </conditionalFormatting>
  <conditionalFormatting sqref="O36:O44">
    <cfRule type="expression" dxfId="92" priority="3">
      <formula>AND(ISNUMBER($P36),ISNUMBER($Q36),$P36&lt;$Q36)</formula>
    </cfRule>
    <cfRule type="expression" dxfId="91" priority="4">
      <formula>AND(ISNUMBER($P36),ISNUMBER($Q36),$P36&gt;$Q36)</formula>
    </cfRule>
  </conditionalFormatting>
  <conditionalFormatting sqref="R14:R22">
    <cfRule type="expression" dxfId="90" priority="9">
      <formula>AND(ISNUMBER($P14),ISNUMBER($Q14),$P14&gt;$Q14)</formula>
    </cfRule>
    <cfRule type="expression" dxfId="89" priority="10">
      <formula>AND(ISNUMBER($P14),ISNUMBER($Q14),$P14&lt;$Q14)</formula>
    </cfRule>
  </conditionalFormatting>
  <conditionalFormatting sqref="R25:R33">
    <cfRule type="expression" dxfId="88" priority="5">
      <formula>AND(ISNUMBER($P25),ISNUMBER($Q25),$P25&gt;$Q25)</formula>
    </cfRule>
    <cfRule type="expression" dxfId="87" priority="6">
      <formula>AND(ISNUMBER($P25),ISNUMBER($Q25),$P25&lt;$Q25)</formula>
    </cfRule>
  </conditionalFormatting>
  <conditionalFormatting sqref="R36:R44">
    <cfRule type="expression" dxfId="86" priority="1">
      <formula>AND(ISNUMBER($P36),ISNUMBER($Q36),$P36&gt;$Q36)</formula>
    </cfRule>
    <cfRule type="expression" dxfId="85" priority="2">
      <formula>AND(ISNUMBER($P36),ISNUMBER($Q36),$P36&lt;$Q36)</formula>
    </cfRule>
  </conditionalFormatting>
  <dataValidations count="4">
    <dataValidation type="list" allowBlank="1" showInputMessage="1" showErrorMessage="1" sqref="C14:C22 F14:F22 C25:C33 F25:F33 I14:I22 L14:L22 I25:I33 L25:L33 I36:I44 L36:L44 C36:C44 F36:F44 C47:C55 F47:F55 O14:O22 R14:R22 O25:O33 R25:R33 O36:O44 R36:R44" xr:uid="{DA25BE1D-4142-4956-92D5-715DD4DFDE98}">
      <formula1>$B$3:$B$11</formula1>
    </dataValidation>
    <dataValidation type="list" allowBlank="1" showInputMessage="1" showErrorMessage="1" sqref="D14:E22 D25:E33 J14:K22 J25:K33 J36:K44 D36:E44 D47:E55 P14:Q22 P25:Q33 P36:Q44" xr:uid="{2524E0F8-FA8C-4921-AD42-18FDBC637928}">
      <formula1>"0,1,2"</formula1>
    </dataValidation>
    <dataValidation type="list" allowBlank="1" showInputMessage="1" showErrorMessage="1" sqref="O52:O53 R51:R52" xr:uid="{121F25CC-D5CA-4CB1-8A4C-899B046DF0E1}">
      <formula1>"0,1,2,3,4"</formula1>
    </dataValidation>
    <dataValidation type="list" allowBlank="1" showInputMessage="1" showErrorMessage="1" sqref="I49:I52 L49:L54 O50:O51" xr:uid="{C0AB80FF-C418-4ECF-A6F5-70A52F2141C3}">
      <formula1>"0,1,2,3"</formula1>
    </dataValidation>
  </dataValidations>
  <pageMargins left="0.7" right="0.7" top="0.75" bottom="0.75" header="0.3" footer="0.3"/>
  <pageSetup paperSize="9" scale="55" fitToWidth="0" orientation="landscape" r:id="rId1"/>
  <ignoredErrors>
    <ignoredError sqref="J51 M52" formula="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E632F-F7FA-4BCA-BE17-B50C569C8622}">
  <sheetPr>
    <pageSetUpPr fitToPage="1"/>
  </sheetPr>
  <dimension ref="A1:BN61"/>
  <sheetViews>
    <sheetView tabSelected="1" topLeftCell="A4" zoomScaleNormal="100" workbookViewId="0">
      <selection activeCell="B49" sqref="B49"/>
    </sheetView>
  </sheetViews>
  <sheetFormatPr defaultRowHeight="15" x14ac:dyDescent="0.25"/>
  <cols>
    <col min="1" max="1" width="3.5703125" bestFit="1"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bestFit="1" customWidth="1"/>
    <col min="12" max="12" width="10.140625" bestFit="1" customWidth="1"/>
    <col min="13" max="13" width="7.140625" customWidth="1"/>
    <col min="14" max="14" width="19.5703125" customWidth="1"/>
    <col min="15" max="15" width="10.140625" bestFit="1" customWidth="1"/>
    <col min="18" max="18" width="10.140625" bestFit="1" customWidth="1"/>
    <col min="57" max="57" width="7.85546875" customWidth="1"/>
    <col min="58" max="58" width="11" customWidth="1"/>
    <col min="59" max="61" width="7.85546875" customWidth="1"/>
    <col min="62" max="65" width="9.140625" customWidth="1"/>
    <col min="66" max="66" width="4.7109375" bestFit="1" customWidth="1"/>
    <col min="67" max="67" width="9.140625" customWidth="1"/>
  </cols>
  <sheetData>
    <row r="1" spans="1:66" ht="23.25" x14ac:dyDescent="0.25">
      <c r="A1" s="68" t="s">
        <v>59</v>
      </c>
      <c r="B1" s="69"/>
      <c r="C1" s="69"/>
      <c r="D1" s="69"/>
      <c r="E1" s="69"/>
      <c r="F1" s="69"/>
      <c r="G1" s="70"/>
      <c r="I1" s="71" t="s">
        <v>19</v>
      </c>
      <c r="J1" s="72"/>
      <c r="K1" s="72"/>
      <c r="L1" s="72"/>
      <c r="M1" s="7"/>
      <c r="N1" s="14"/>
      <c r="O1" s="7"/>
      <c r="P1" s="7"/>
      <c r="Q1" s="7"/>
      <c r="R1" s="8"/>
      <c r="BF1" s="25" t="s">
        <v>51</v>
      </c>
      <c r="BG1" s="25">
        <f>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3</v>
      </c>
      <c r="BH1" s="25">
        <f>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-6</v>
      </c>
      <c r="BI1" s="25">
        <f>IF(COUNTIFS($BG$1:$BG$8,BG1,$BH$1:$BH$8,BH1)&lt;=1,0,SUMPRODUCT(INDEX($BG$13:$BN$20,MATCH(BF1,$BF$13:$BF$20,0),0)*TRANSPOSE(($BG$1:$BG$8=BG1)*($BH$1:$BH$8=BH1))))</f>
        <v>0</v>
      </c>
      <c r="BJ1" s="25">
        <f>IF(COUNTIFS($BG$1:$BG$8,BG1,$BH$1:$BH$8,BH1)&lt;=1,0,SUMPRODUCT(INDEX($BG$25:$BN$32,MATCH(BF1,$BF$25:$BF$32,0),0)*TRANSPOSE(($BG$1:$BG$8=BG1)*($BH$1:$BH$8=BH1))))</f>
        <v>0</v>
      </c>
      <c r="BK1" s="100">
        <f>1+SUMPRODUCT(--($BG$1:$BG$8&gt;BG1))+SUMPRODUCT(--($BG$1:$BG$8=BG1),--($BH$1:$BH$8&gt;BH1))+SUMPRODUCT(--($BG$1:$BG$8=BG1),--($BH$1:$BH$8=BH1),--($BI$1:$BI$8&gt;BI1))+SUMPRODUCT(--($BG$1:$BG$8=BG1),--($BH$1:$BH$8=BH1),--($BI$1:$BI$8=BI1),--($BF$1:$BF$8&lt;BF1))</f>
        <v>7</v>
      </c>
      <c r="BL1" s="25"/>
    </row>
    <row r="2" spans="1:66" ht="15.75" customHeight="1" x14ac:dyDescent="0.25">
      <c r="A2" s="19" t="s">
        <v>28</v>
      </c>
      <c r="B2" s="26" t="s">
        <v>60</v>
      </c>
      <c r="C2" s="20" t="s">
        <v>30</v>
      </c>
      <c r="D2" s="20" t="s">
        <v>31</v>
      </c>
      <c r="E2" s="20" t="s">
        <v>32</v>
      </c>
      <c r="F2" s="20" t="s">
        <v>33</v>
      </c>
      <c r="G2" s="21" t="s">
        <v>27</v>
      </c>
      <c r="I2" s="59" t="s">
        <v>49</v>
      </c>
      <c r="J2" s="60"/>
      <c r="K2" s="60"/>
      <c r="L2" s="60"/>
      <c r="M2" s="60"/>
      <c r="N2" s="60"/>
      <c r="O2" s="60"/>
      <c r="P2" s="60"/>
      <c r="Q2" s="60"/>
      <c r="R2" s="61"/>
      <c r="BF2" s="25" t="s">
        <v>58</v>
      </c>
      <c r="BG2" s="25">
        <f t="shared" ref="BG2:BG8" si="0">SUMPRODUCT(($C$14:$C$22=$BF2)*($D$14:$D$22&gt;$E$14:$E$22))+SUMPRODUCT(($F$14:$F$22=$BF2)*($E$14:$E$22&gt;$D$14:$D$22))+SUMPRODUCT(($I$14:$I$22=$BF2)*($J$14:$J$22&gt;$K$14:$K$22))+SUMPRODUCT(($L$14:$L$22=$BF2)*($K$14:$K$22&gt;$J$14:$J$22))+SUMPRODUCT(($O$14:$O$22=$BF2)*($P$14:$P$22&gt;$Q$14:$Q$22))+SUMPRODUCT(($R$14:$R$22=$BF2)*($Q$14:$Q$22&gt;$P$14:$P$22))+SUMPRODUCT(($C$25:$C$33=$BF2)*($D$25:$D$33&gt;$E$25:$E$33))+SUMPRODUCT(($F$25:$F$33=$BF2)*($E$25:$E$33&gt;$D$25:$D$33))+SUMPRODUCT(($I$25:$I$33=$BF2)*($J$25:$J$33&gt;$K$25:$K$33))+SUMPRODUCT(($L$25:$L$33=$BF2)*($K$25:$K$33&gt;$J$25:$J$33))+SUMPRODUCT(($O$25:$O$33=$BF2)*($P$25:$P$33&gt;$Q$25:$Q$33))+SUMPRODUCT(($R$25:$R$33=$BF2)*($Q$25:$Q$33&gt;$P$25:$P$33))+SUMPRODUCT(($C$36:$C$44=$BF2)*($D$36:$D$44&gt;$E$36:$E$44))+SUMPRODUCT(($F$36:$F$44=$BF2)*($E$36:$E$44&gt;$D$36:$D$44))+SUMPRODUCT(($I$36:$I$44=$BF2)*($J$36:$J$44&gt;$K$36:$K$44))+SUMPRODUCT(($L$36:$L$44=$BF2)*($K$36:$K$44&gt;$J$36:$J$44))+SUMPRODUCT(($O$36:$O$44=$BF2)*($P$36:$P$44&gt;$Q$36:$Q$44))+SUMPRODUCT(($R$36:$R$44=$BF2)*($Q$36:$Q$44&gt;$P$36:$P$44))</f>
        <v>5</v>
      </c>
      <c r="BH2" s="25">
        <f t="shared" ref="BH2:BH8" si="1">SUMPRODUCT(($C$14:$C$22=$BF2)*($D$14:$D$22-$E$14:$E$22))+SUMPRODUCT(($F$14:$F$22=$BF2)*($E$14:$E$22-$D$14:$D$22))+SUMPRODUCT(($I$14:$I$22=$BF2)*($J$14:$J$22-$K$14:$K$22))+SUMPRODUCT(($L$14:$L$22=$BF2)*($K$14:$K$22-$J$14:$J$22))+SUMPRODUCT(($O$14:$O$22=$BF2)*($P$14:$P$22-$Q$14:$Q$22))+SUMPRODUCT(($R$14:$R$22=$BF2)*($Q$14:$Q$22-$P$14:$P$22))+SUMPRODUCT(($C$25:$C$33=$BF2)*($D$25:$D$33-$E$25:$E$33))+SUMPRODUCT(($F$25:$F$33=$BF2)*($E$25:$E$33-$D$25:$D$33))+SUMPRODUCT(($I$25:$I$33=$BF2)*($J$25:$J$33-$K$25:$K$33))+SUMPRODUCT(($L$25:$L$33=$BF2)*($K$25:$K$33-$J$25:$J$33))+SUMPRODUCT(($O$25:$O$33=$BF2)*($P$25:$P$33-$Q$25:$Q$33))+SUMPRODUCT(($R$25:$R$33=$BF2)*($Q$25:$Q$33-$P$25:$P$33))+SUMPRODUCT(($C$36:$C$44=$BF2)*($D$36:$D$44-$E$36:$E$44))+SUMPRODUCT(($F$36:$F$44=$BF2)*($E$36:$E$44-$D$36:$D$44))+SUMPRODUCT(($I$36:$I$44=$BF2)*($J$36:$J$44-$K$36:$K$44))+SUMPRODUCT(($L$36:$L$44=$BF2)*($K$36:$K$44-$J$36:$J$44))+SUMPRODUCT(($O$36:$O$44=$BF2)*($P$36:$P$44-$Q$36:$Q$44))+SUMPRODUCT(($R$36:$R$44=$BF2)*($Q$36:$Q$44-$P$36:$P$44))+SUMPRODUCT(($C$47:$C$55=$BF2)*($D$47:$D$55-$E$47:$E$55))+SUMPRODUCT(($F$47:$F$55=$BF2)*($E$47:$E$55-$D$47:$D$55))</f>
        <v>4</v>
      </c>
      <c r="BI2" s="25">
        <f t="shared" ref="BI2:BI8" si="2">IF(COUNTIFS($BG$1:$BG$8,BG2,$BH$1:$BH$8,BH2)&lt;=1,0,SUMPRODUCT(INDEX($BG$13:$BN$20,MATCH(BF2,$BF$13:$BF$20,0),0)*TRANSPOSE(($BG$1:$BG$8=BG2)*($BH$1:$BH$8=BH2))))</f>
        <v>0</v>
      </c>
      <c r="BJ2" s="25">
        <f t="shared" ref="BJ2:BJ8" si="3">IF(COUNTIFS($BG$1:$BG$8,BG2,$BH$1:$BH$8,BH2)&lt;=1,0,SUMPRODUCT(INDEX($BG$25:$BN$32,MATCH(BF2,$BF$25:$BF$32,0),0)*TRANSPOSE(($BG$1:$BG$8=BG2)*($BH$1:$BH$8=BH2))))</f>
        <v>0</v>
      </c>
      <c r="BK2" s="100">
        <f t="shared" ref="BK2:BK8" si="4">1+SUMPRODUCT(--($BG$1:$BG$8&gt;BG2))+SUMPRODUCT(--($BG$1:$BG$8=BG2),--($BH$1:$BH$8&gt;BH2))+SUMPRODUCT(--($BG$1:$BG$8=BG2),--($BH$1:$BH$8=BH2),--($BI$1:$BI$8&gt;BI2))+SUMPRODUCT(--($BG$1:$BG$8=BG2),--($BH$1:$BH$8=BH2),--($BI$1:$BI$8=BI2),--($BF$1:$BF$8&lt;BF2))</f>
        <v>4</v>
      </c>
      <c r="BL2" s="25"/>
    </row>
    <row r="3" spans="1:66" ht="15.75" x14ac:dyDescent="0.25">
      <c r="A3" s="27">
        <v>1</v>
      </c>
      <c r="B3" s="28" t="str">
        <f>INDEX($BF$1:$BF$8,MATCH(ROW()-2,$BK$1:$BK$8,0))</f>
        <v>TLPH</v>
      </c>
      <c r="C3" s="29">
        <f>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8</v>
      </c>
      <c r="D3" s="29">
        <f>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2</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17</v>
      </c>
      <c r="F3" s="29">
        <f>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5</v>
      </c>
      <c r="G3" s="30">
        <f t="shared" ref="G3:G11" si="5">E3-F3</f>
        <v>12</v>
      </c>
      <c r="I3" s="59"/>
      <c r="J3" s="60"/>
      <c r="K3" s="60"/>
      <c r="L3" s="60"/>
      <c r="M3" s="60"/>
      <c r="N3" s="60"/>
      <c r="O3" s="60"/>
      <c r="P3" s="60"/>
      <c r="Q3" s="60"/>
      <c r="R3" s="61"/>
      <c r="BF3" s="25" t="s">
        <v>52</v>
      </c>
      <c r="BG3" s="25">
        <f t="shared" si="0"/>
        <v>4</v>
      </c>
      <c r="BH3" s="25">
        <f t="shared" si="1"/>
        <v>-7</v>
      </c>
      <c r="BI3" s="25">
        <f t="shared" si="2"/>
        <v>0</v>
      </c>
      <c r="BJ3" s="25">
        <f t="shared" si="3"/>
        <v>0</v>
      </c>
      <c r="BK3" s="100">
        <f t="shared" si="4"/>
        <v>5</v>
      </c>
      <c r="BL3" s="25"/>
    </row>
    <row r="4" spans="1:66" ht="15.75" x14ac:dyDescent="0.25">
      <c r="A4" s="27">
        <v>2</v>
      </c>
      <c r="B4" s="28" t="str">
        <f t="shared" ref="B4:B10" si="6">INDEX($BF$1:$BF$8,MATCH(ROW()-2,$BK$1:$BK$8,0))</f>
        <v>T. FLCP</v>
      </c>
      <c r="C4" s="29">
        <f>SUMPRODUCT(($C$14:$C$22=$B4)*ISNUMBER($D$14:$D$22)*ISNUMBER($E$14:$E$22)*($D$14:$D$22&gt;$E$14:$E$22))+SUMPRODUCT(($F$14:$F$22=$B4)*ISNUMBER($D$14:$D$22)*ISNUMBER($E$14:$E$22)*($E$14:$E$22&gt;$D$14:$D$22))+SUMPRODUCT(($I$14:$I$22=$B4)*ISNUMBER($J$14:$J$22)*ISNUMBER($K$14:$K$22)*($J$14:$J$22&gt;$K$14:$K$22))+SUMPRODUCT(($L$14:$L$22=$B4)*ISNUMBER($J$14:$J$22)*ISNUMBER($K$14:$K$22)*($K$14:$K$22&gt;$J$14:$J$22))+SUMPRODUCT(($O$14:$O$22=$B4)*ISNUMBER($P$14:$P$22)*ISNUMBER($Q$14:$Q$22)*($P$14:$P$22&gt;$Q$14:$Q$22))+SUMPRODUCT(($R$14:$R$22=$B4)*ISNUMBER($P$14:$P$22)*ISNUMBER($Q$14:$Q$22)*($Q$14:$Q$22&gt;$P$14:$P$22))+SUMPRODUCT(($C$25:$C$33=$B4)*ISNUMBER($D$25:$D$33)*ISNUMBER($E$25:$E$33)*($D$25:$D$33&gt;$E$25:$E$33))+SUMPRODUCT(($F$25:$F$33=$B4)*ISNUMBER($D$25:$D$33)*ISNUMBER($E$25:$E$33)*($E$25:$E$33&gt;$D$25:$D$33))+SUMPRODUCT(($I$25:$I$33=$B4)*ISNUMBER($J$25:$J$33)*ISNUMBER($K$25:$K$33)*($J$25:$J$33&gt;$K$25:$K$33))+SUMPRODUCT(($L$25:$L$33=$B4)*ISNUMBER($J$25:$J$33)*ISNUMBER($K$25:$K$33)*($K$25:$K$33&gt;$J$25:$J$33))+SUMPRODUCT(($O$25:$O$33=$B4)*ISNUMBER($P$25:$P$33)*ISNUMBER($Q$25:$Q$33)*($P$25:$P$33&gt;$Q$25:$Q$33))+SUMPRODUCT(($R$25:$R$33=$B4)*ISNUMBER($P$25:$P$33)*ISNUMBER($Q$25:$Q$33)*($Q$25:$Q$33&gt;$P$25:$P$33))+SUMPRODUCT(($C$36:$C$44=$B4)*ISNUMBER($D$36:$D$44)*ISNUMBER($E$36:$E$44)*($D$36:$D$44&gt;$E$36:$E$44))+SUMPRODUCT(($F$36:$F$44=$B4)*ISNUMBER($D$36:$D$44)*ISNUMBER($E$36:$E$44)*($E$36:$E$44&gt;$D$36:$D$44))+SUMPRODUCT(($I$36:$I$44=$B4)*ISNUMBER($J$36:$J$44)*ISNUMBER($K$36:$K$44)*($J$36:$J$44&gt;$K$36:$K$44))+SUMPRODUCT(($L$36:$L$44=$B4)*ISNUMBER($J$36:$J$44)*ISNUMBER($K$36:$K$44)*($K$36:$K$44&gt;$J$36:$J$44))+SUMPRODUCT(($O$36:$O$44=$B4)*ISNUMBER($P$36:$P$44)*ISNUMBER($Q$36:$Q$44)*($P$36:$P$44&gt;$Q$36:$Q$44))+SUMPRODUCT(($R$36:$R$44=$B4)*ISNUMBER($P$36:$P$44)*ISNUMBER($Q$36:$Q$44)*($Q$36:$Q$44&gt;$P$36:$P$44))</f>
        <v>7</v>
      </c>
      <c r="D4" s="29">
        <f>SUMPRODUCT(($C$14:$C$22=$B4)*ISNUMBER($D$14:$D$22)*ISNUMBER($E$14:$E$22)*($D$14:$D$22&lt;$E$14:$E$22))+SUMPRODUCT(($F$14:$F$22=$B4)*ISNUMBER($D$14:$D$22)*ISNUMBER($E$14:$E$22)*($E$14:$E$22&lt;$D$14:$D$22))+SUMPRODUCT(($I$14:$I$22=$B4)*ISNUMBER($J$14:$J$22)*ISNUMBER($K$14:$K$22)*($J$14:$J$22&lt;$K$14:$K$22))+SUMPRODUCT(($L$14:$L$22=$B4)*ISNUMBER($J$14:$J$22)*ISNUMBER($K$14:$K$22)*($K$14:$K$22&lt;$J$14:$J$22))+SUMPRODUCT(($O$14:$O$22=$B4)*ISNUMBER($P$14:$P$22)*ISNUMBER($Q$14:$Q$22)*($P$14:$P$22&lt;$Q$14:$Q$22))+SUMPRODUCT(($R$14:$R$22=$B4)*ISNUMBER($P$14:$P$22)*ISNUMBER($Q$14:$Q$22)*($Q$14:$Q$22&lt;$P$14:$P$22))+SUMPRODUCT(($C$25:$C$33=$B4)*ISNUMBER($D$25:$D$33)*ISNUMBER($E$25:$E$33)*($D$25:$D$33&lt;$E$25:$E$33))+SUMPRODUCT(($F$25:$F$33=$B4)*ISNUMBER($D$25:$D$33)*ISNUMBER($E$25:$E$33)*($E$25:$E$33&lt;$D$25:$D$33))+SUMPRODUCT(($I$25:$I$33=$B4)*ISNUMBER($J$25:$J$33)*ISNUMBER($K$25:$K$33)*($J$25:$J$33&lt;$K$25:$K$33))+SUMPRODUCT(($L$25:$L$33=$B4)*ISNUMBER($J$25:$J$33)*ISNUMBER($K$25:$K$33)*($K$25:$K$33&lt;$J$25:$K$33))+SUMPRODUCT(($O$25:$O$33=$B4)*ISNUMBER($P$25:$P$33)*ISNUMBER($Q$25:$Q$33)*($P$25:$P$33&lt;$Q$25:$Q$33))+SUMPRODUCT(($R$25:$R$33=$B4)*ISNUMBER($P$25:$P$33)*ISNUMBER($Q$25:$Q$33)*($Q$25:$Q$33&lt;$P$25:$P$33))+SUMPRODUCT(($C$36:$C$44=$B4)*ISNUMBER($D$36:$D$44)*ISNUMBER($E$36:$E$44)*($D$36:$D$44&lt;$E$36:$E$44))+SUMPRODUCT(($F$36:$F$44=$B4)*ISNUMBER($D$36:$D$44)*ISNUMBER($E$36:$E$44)*($E$36:$E$44&lt;$D$36:$D$44))+SUMPRODUCT(($I$36:$I$44=$B4)*ISNUMBER($J$36:$J$44)*ISNUMBER($K$36:$K$44)*($J$36:$J$44&lt;$K$36:$K$44))+SUMPRODUCT(($L$36:$L$44=$B4)*ISNUMBER($J$36:$J$44)*ISNUMBER($K$36:$K$44)*($K$36:$K$44&lt;$J$36:$J$44))+SUMPRODUCT(($O$36:$O$44=$B4)*ISNUMBER($P$36:$P$44)*ISNUMBER($Q$36:$Q$44)*($P$36:$P$44&lt;$Q$36:$Q$44))+SUMPRODUCT(($R$36:$R$44=$B4)*ISNUMBER($P$36:$P$44)*ISNUMBER($Q$36:$Q$44)*($Q$36:$Q$44&lt;$P$36:$P$44))</f>
        <v>1</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15</v>
      </c>
      <c r="F4" s="29">
        <f>SUMIF($C$14:$C$22,$B4,$E$14:$E$22)+SUMIF($F$14:$F$22,$B4,$D$14:$D$22)+SUMIF($I$14:$I$22,$B4,$K$14:$K$22)+SUMIF($L$14:$L$22,$B4,$J$14:$J$22)+SUMIF($O$14:$O$22,$B4,$Q$14:$Q$22)+SUMIF($R$14:$R$22,$B4,$P$14:$P$22)+SUMIF($C$25:$C$33,$B4,$E$25:$E$33)+SUMIF($F$25:$F$33,$B4,$D$25:$D$33)+SUMIF($I$25:$I$33,$B4,$K$25:$K$33)+SUMIF($L$25:$L$33,$B4,$J$25:$J$33)+SUMIF($O$25:$O$33,$B4,$Q$25:$Q$33)+SUMIF($R$25:$R$33,$B4,$P$25:$P$33)+SUMIF($C$36:$C$44,$B4,$E$36:$E$44)+SUMIF($F$36:$F$44,$B4,$D$36:$D$44)+SUMIF($I$36:$I$44,$B4,$K$36:$K$44)+SUMIF($L$36:$L$44,$B4,$J$36:$J$44)+SUMIF($O$36:$O$44,$B4,$Q$36:$Q$44)+SUMIF($R$36:$R$44,$B4,$P$36:$P$44)+SUMIF($C$47:$C$55,$B4,$E$47:$E$55)+SUMIF($F$47:$F$55,$B4,$D$47:$D$55)</f>
        <v>5</v>
      </c>
      <c r="G4" s="30">
        <f t="shared" si="5"/>
        <v>10</v>
      </c>
      <c r="I4" s="59"/>
      <c r="J4" s="60"/>
      <c r="K4" s="60"/>
      <c r="L4" s="60"/>
      <c r="M4" s="60"/>
      <c r="N4" s="60"/>
      <c r="O4" s="60"/>
      <c r="P4" s="60"/>
      <c r="Q4" s="60"/>
      <c r="R4" s="61"/>
      <c r="BF4" s="25" t="s">
        <v>53</v>
      </c>
      <c r="BG4" s="25">
        <f t="shared" si="0"/>
        <v>7</v>
      </c>
      <c r="BH4" s="25">
        <f t="shared" si="1"/>
        <v>8</v>
      </c>
      <c r="BI4" s="25">
        <f t="shared" si="2"/>
        <v>0</v>
      </c>
      <c r="BJ4" s="25">
        <f t="shared" si="3"/>
        <v>0</v>
      </c>
      <c r="BK4" s="100">
        <f t="shared" si="4"/>
        <v>3</v>
      </c>
      <c r="BL4" s="25"/>
    </row>
    <row r="5" spans="1:66" ht="15.75" x14ac:dyDescent="0.25">
      <c r="A5" s="101">
        <v>3</v>
      </c>
      <c r="B5" s="102" t="str">
        <f t="shared" si="6"/>
        <v>ONIC PH</v>
      </c>
      <c r="C5" s="103">
        <f>SUMPRODUCT(($C$14:$C$22=$B5)*ISNUMBER($D$14:$D$22)*ISNUMBER($E$14:$E$22)*($D$14:$D$22&gt;$E$14:$E$22))+SUMPRODUCT(($F$14:$F$22=$B5)*ISNUMBER($D$14:$D$22)*ISNUMBER($E$14:$E$22)*($E$14:$E$22&gt;$D$14:$D$22))+SUMPRODUCT(($I$14:$I$22=$B5)*ISNUMBER($J$14:$J$22)*ISNUMBER($K$14:$K$22)*($J$14:$J$22&gt;$K$14:$K$22))+SUMPRODUCT(($L$14:$L$22=$B5)*ISNUMBER($J$14:$J$22)*ISNUMBER($K$14:$K$22)*($K$14:$K$22&gt;$J$14:$J$22))+SUMPRODUCT(($O$14:$O$22=$B5)*ISNUMBER($P$14:$P$22)*ISNUMBER($Q$14:$Q$22)*($P$14:$P$22&gt;$Q$14:$Q$22))+SUMPRODUCT(($R$14:$R$22=$B5)*ISNUMBER($P$14:$P$22)*ISNUMBER($Q$14:$Q$22)*($Q$14:$Q$22&gt;$P$14:$P$22))+SUMPRODUCT(($C$25:$C$33=$B5)*ISNUMBER($D$25:$D$33)*ISNUMBER($E$25:$E$33)*($D$25:$D$33&gt;$E$25:$E$33))+SUMPRODUCT(($F$25:$F$33=$B5)*ISNUMBER($D$25:$D$33)*ISNUMBER($E$25:$E$33)*($E$25:$E$33&gt;$D$25:$D$33))+SUMPRODUCT(($I$25:$I$33=$B5)*ISNUMBER($J$25:$J$33)*ISNUMBER($K$25:$K$33)*($J$25:$J$33&gt;$K$25:$K$33))+SUMPRODUCT(($L$25:$L$33=$B5)*ISNUMBER($J$25:$J$33)*ISNUMBER($K$25:$K$33)*($K$25:$K$33&gt;$J$25:$J$33))+SUMPRODUCT(($O$25:$O$33=$B5)*ISNUMBER($P$25:$P$33)*ISNUMBER($Q$25:$Q$33)*($P$25:$P$33&gt;$Q$25:$Q$33))+SUMPRODUCT(($R$25:$R$33=$B5)*ISNUMBER($P$25:$P$33)*ISNUMBER($Q$25:$Q$33)*($Q$25:$Q$33&gt;$P$25:$P$33))+SUMPRODUCT(($C$36:$C$44=$B5)*ISNUMBER($D$36:$D$44)*ISNUMBER($E$36:$E$44)*($D$36:$D$44&gt;$E$36:$E$44))+SUMPRODUCT(($F$36:$F$44=$B5)*ISNUMBER($D$36:$D$44)*ISNUMBER($E$36:$E$44)*($E$36:$E$44&gt;$D$36:$D$44))+SUMPRODUCT(($I$36:$I$44=$B5)*ISNUMBER($J$36:$J$44)*ISNUMBER($K$36:$K$44)*($J$36:$J$44&gt;$K$36:$K$44))+SUMPRODUCT(($L$36:$L$44=$B5)*ISNUMBER($J$36:$J$44)*ISNUMBER($K$36:$K$44)*($K$36:$K$44&gt;$J$36:$J$44))+SUMPRODUCT(($O$36:$O$44=$B5)*ISNUMBER($P$36:$P$44)*ISNUMBER($Q$36:$Q$44)*($P$36:$P$44&gt;$Q$36:$Q$44))+SUMPRODUCT(($R$36:$R$44=$B5)*ISNUMBER($P$36:$P$44)*ISNUMBER($Q$36:$Q$44)*($Q$36:$Q$44&gt;$P$36:$P$44))</f>
        <v>7</v>
      </c>
      <c r="D5" s="103">
        <f>SUMPRODUCT(($C$14:$C$22=$B5)*ISNUMBER($D$14:$D$22)*ISNUMBER($E$14:$E$22)*($D$14:$D$22&lt;$E$14:$E$22))+SUMPRODUCT(($F$14:$F$22=$B5)*ISNUMBER($D$14:$D$22)*ISNUMBER($E$14:$E$22)*($E$14:$E$22&lt;$D$14:$D$22))+SUMPRODUCT(($I$14:$I$22=$B5)*ISNUMBER($J$14:$J$22)*ISNUMBER($K$14:$K$22)*($J$14:$J$22&lt;$K$14:$K$22))+SUMPRODUCT(($L$14:$L$22=$B5)*ISNUMBER($J$14:$J$22)*ISNUMBER($K$14:$K$22)*($K$14:$K$22&lt;$J$14:$J$22))+SUMPRODUCT(($O$14:$O$22=$B5)*ISNUMBER($P$14:$P$22)*ISNUMBER($Q$14:$Q$22)*($P$14:$P$22&lt;$Q$14:$Q$22))+SUMPRODUCT(($R$14:$R$22=$B5)*ISNUMBER($P$14:$P$22)*ISNUMBER($Q$14:$Q$22)*($Q$14:$Q$22&lt;$P$14:$P$22))+SUMPRODUCT(($C$25:$C$33=$B5)*ISNUMBER($D$25:$D$33)*ISNUMBER($E$25:$E$33)*($D$25:$D$33&lt;$E$25:$E$33))+SUMPRODUCT(($F$25:$F$33=$B5)*ISNUMBER($D$25:$D$33)*ISNUMBER($E$25:$E$33)*($E$25:$E$33&lt;$D$25:$D$33))+SUMPRODUCT(($I$25:$I$33=$B5)*ISNUMBER($J$25:$J$33)*ISNUMBER($K$25:$K$33)*($J$25:$J$33&lt;$K$25:$K$33))+SUMPRODUCT(($L$25:$L$33=$B5)*ISNUMBER($J$25:$J$33)*ISNUMBER($K$25:$K$33)*($K$25:$K$33&lt;$J$25:$K$33))+SUMPRODUCT(($O$25:$O$33=$B5)*ISNUMBER($P$25:$P$33)*ISNUMBER($Q$25:$Q$33)*($P$25:$P$33&lt;$Q$25:$Q$33))+SUMPRODUCT(($R$25:$R$33=$B5)*ISNUMBER($P$25:$P$33)*ISNUMBER($Q$25:$Q$33)*($Q$25:$Q$33&lt;$P$25:$P$33))+SUMPRODUCT(($C$36:$C$44=$B5)*ISNUMBER($D$36:$D$44)*ISNUMBER($E$36:$E$44)*($D$36:$D$44&lt;$E$36:$E$44))+SUMPRODUCT(($F$36:$F$44=$B5)*ISNUMBER($D$36:$D$44)*ISNUMBER($E$36:$E$44)*($E$36:$E$44&lt;$D$36:$D$44))+SUMPRODUCT(($I$36:$I$44=$B5)*ISNUMBER($J$36:$J$44)*ISNUMBER($K$36:$K$44)*($J$36:$J$44&lt;$K$36:$K$44))+SUMPRODUCT(($L$36:$L$44=$B5)*ISNUMBER($J$36:$J$44)*ISNUMBER($K$36:$K$44)*($K$36:$K$44&lt;$J$36:$J$44))+SUMPRODUCT(($O$36:$O$44=$B5)*ISNUMBER($P$36:$P$44)*ISNUMBER($Q$36:$Q$44)*($P$36:$P$44&lt;$Q$36:$Q$44))+SUMPRODUCT(($R$36:$R$44=$B5)*ISNUMBER($P$36:$P$44)*ISNUMBER($Q$36:$Q$44)*($Q$36:$Q$44&lt;$P$36:$P$44))</f>
        <v>2</v>
      </c>
      <c r="E5" s="103">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15</v>
      </c>
      <c r="F5" s="103">
        <f>SUMIF($C$14:$C$22,$B5,$E$14:$E$22)+SUMIF($F$14:$F$22,$B5,$D$14:$D$22)+SUMIF($I$14:$I$22,$B5,$K$14:$K$22)+SUMIF($L$14:$L$22,$B5,$J$14:$J$22)+SUMIF($O$14:$O$22,$B5,$Q$14:$Q$22)+SUMIF($R$14:$R$22,$B5,$P$14:$P$22)+SUMIF($C$25:$C$33,$B5,$E$25:$E$33)+SUMIF($F$25:$F$33,$B5,$D$25:$D$33)+SUMIF($I$25:$I$33,$B5,$K$25:$K$33)+SUMIF($L$25:$L$33,$B5,$J$25:$J$33)+SUMIF($O$25:$O$33,$B5,$Q$25:$Q$33)+SUMIF($R$25:$R$33,$B5,$P$25:$P$33)+SUMIF($C$36:$C$44,$B5,$E$36:$E$44)+SUMIF($F$36:$F$44,$B5,$D$36:$D$44)+SUMIF($I$36:$I$44,$B5,$K$36:$K$44)+SUMIF($L$36:$L$44,$B5,$J$36:$J$44)+SUMIF($O$36:$O$44,$B5,$Q$36:$Q$44)+SUMIF($R$36:$R$44,$B5,$P$36:$P$44)+SUMIF($C$47:$C$55,$B5,$E$47:$E$55)+SUMIF($F$47:$F$55,$B5,$D$47:$D$55)</f>
        <v>7</v>
      </c>
      <c r="G5" s="104">
        <f t="shared" si="5"/>
        <v>8</v>
      </c>
      <c r="I5" s="59"/>
      <c r="J5" s="60"/>
      <c r="K5" s="60"/>
      <c r="L5" s="60"/>
      <c r="M5" s="60"/>
      <c r="N5" s="60"/>
      <c r="O5" s="60"/>
      <c r="P5" s="60"/>
      <c r="Q5" s="60"/>
      <c r="R5" s="61"/>
      <c r="BF5" s="25" t="s">
        <v>56</v>
      </c>
      <c r="BG5" s="25">
        <f t="shared" si="0"/>
        <v>7</v>
      </c>
      <c r="BH5" s="25">
        <f t="shared" si="1"/>
        <v>10</v>
      </c>
      <c r="BI5" s="25">
        <f t="shared" si="2"/>
        <v>0</v>
      </c>
      <c r="BJ5" s="25">
        <f t="shared" si="3"/>
        <v>0</v>
      </c>
      <c r="BK5" s="100">
        <f t="shared" si="4"/>
        <v>2</v>
      </c>
      <c r="BL5" s="25"/>
    </row>
    <row r="6" spans="1:66" ht="15.75" x14ac:dyDescent="0.25">
      <c r="A6" s="53">
        <v>4</v>
      </c>
      <c r="B6" s="46" t="str">
        <f t="shared" si="6"/>
        <v>AUR PH</v>
      </c>
      <c r="C6" s="51">
        <f>SUMPRODUCT(($C$14:$C$22=$B6)*ISNUMBER($D$14:$D$22)*ISNUMBER($E$14:$E$22)*($D$14:$D$22&gt;$E$14:$E$22))+SUMPRODUCT(($F$14:$F$22=$B6)*ISNUMBER($D$14:$D$22)*ISNUMBER($E$14:$E$22)*($E$14:$E$22&gt;$D$14:$D$22))+SUMPRODUCT(($I$14:$I$22=$B6)*ISNUMBER($J$14:$J$22)*ISNUMBER($K$14:$K$22)*($J$14:$J$22&gt;$K$14:$K$22))+SUMPRODUCT(($L$14:$L$22=$B6)*ISNUMBER($J$14:$J$22)*ISNUMBER($K$14:$K$22)*($K$14:$K$22&gt;$J$14:$J$22))+SUMPRODUCT(($O$14:$O$22=$B6)*ISNUMBER($P$14:$P$22)*ISNUMBER($Q$14:$Q$22)*($P$14:$P$22&gt;$Q$14:$Q$22))+SUMPRODUCT(($R$14:$R$22=$B6)*ISNUMBER($P$14:$P$22)*ISNUMBER($Q$14:$Q$22)*($Q$14:$Q$22&gt;$P$14:$P$22))+SUMPRODUCT(($C$25:$C$33=$B6)*ISNUMBER($D$25:$D$33)*ISNUMBER($E$25:$E$33)*($D$25:$D$33&gt;$E$25:$E$33))+SUMPRODUCT(($F$25:$F$33=$B6)*ISNUMBER($D$25:$D$33)*ISNUMBER($E$25:$E$33)*($E$25:$E$33&gt;$D$25:$D$33))+SUMPRODUCT(($I$25:$I$33=$B6)*ISNUMBER($J$25:$J$33)*ISNUMBER($K$25:$K$33)*($J$25:$J$33&gt;$K$25:$K$33))+SUMPRODUCT(($L$25:$L$33=$B6)*ISNUMBER($J$25:$J$33)*ISNUMBER($K$25:$K$33)*($K$25:$K$33&gt;$J$25:$J$33))+SUMPRODUCT(($O$25:$O$33=$B6)*ISNUMBER($P$25:$P$33)*ISNUMBER($Q$25:$Q$33)*($P$25:$P$33&gt;$Q$25:$Q$33))+SUMPRODUCT(($R$25:$R$33=$B6)*ISNUMBER($P$25:$P$33)*ISNUMBER($Q$25:$Q$33)*($Q$25:$Q$33&gt;$P$25:$P$33))+SUMPRODUCT(($C$36:$C$44=$B6)*ISNUMBER($D$36:$D$44)*ISNUMBER($E$36:$E$44)*($D$36:$D$44&gt;$E$36:$E$44))+SUMPRODUCT(($F$36:$F$44=$B6)*ISNUMBER($D$36:$D$44)*ISNUMBER($E$36:$E$44)*($E$36:$E$44&gt;$D$36:$D$44))+SUMPRODUCT(($I$36:$I$44=$B6)*ISNUMBER($J$36:$J$44)*ISNUMBER($K$36:$K$44)*($J$36:$J$44&gt;$K$36:$K$44))+SUMPRODUCT(($L$36:$L$44=$B6)*ISNUMBER($J$36:$J$44)*ISNUMBER($K$36:$K$44)*($K$36:$K$44&gt;$J$36:$J$44))+SUMPRODUCT(($O$36:$O$44=$B6)*ISNUMBER($P$36:$P$44)*ISNUMBER($Q$36:$Q$44)*($P$36:$P$44&gt;$Q$36:$Q$44))+SUMPRODUCT(($R$36:$R$44=$B6)*ISNUMBER($P$36:$P$44)*ISNUMBER($Q$36:$Q$44)*($Q$36:$Q$44&gt;$P$36:$P$44))</f>
        <v>5</v>
      </c>
      <c r="D6" s="51">
        <f>SUMPRODUCT(($C$14:$C$22=$B6)*ISNUMBER($D$14:$D$22)*ISNUMBER($E$14:$E$22)*($D$14:$D$22&lt;$E$14:$E$22))+SUMPRODUCT(($F$14:$F$22=$B6)*ISNUMBER($D$14:$D$22)*ISNUMBER($E$14:$E$22)*($E$14:$E$22&lt;$D$14:$D$22))+SUMPRODUCT(($I$14:$I$22=$B6)*ISNUMBER($J$14:$J$22)*ISNUMBER($K$14:$K$22)*($J$14:$J$22&lt;$K$14:$K$22))+SUMPRODUCT(($L$14:$L$22=$B6)*ISNUMBER($J$14:$J$22)*ISNUMBER($K$14:$K$22)*($K$14:$K$22&lt;$J$14:$J$22))+SUMPRODUCT(($O$14:$O$22=$B6)*ISNUMBER($P$14:$P$22)*ISNUMBER($Q$14:$Q$22)*($P$14:$P$22&lt;$Q$14:$Q$22))+SUMPRODUCT(($R$14:$R$22=$B6)*ISNUMBER($P$14:$P$22)*ISNUMBER($Q$14:$Q$22)*($Q$14:$Q$22&lt;$P$14:$P$22))+SUMPRODUCT(($C$25:$C$33=$B6)*ISNUMBER($D$25:$D$33)*ISNUMBER($E$25:$E$33)*($D$25:$D$33&lt;$E$25:$E$33))+SUMPRODUCT(($F$25:$F$33=$B6)*ISNUMBER($D$25:$D$33)*ISNUMBER($E$25:$E$33)*($E$25:$E$33&lt;$D$25:$D$33))+SUMPRODUCT(($I$25:$I$33=$B6)*ISNUMBER($J$25:$J$33)*ISNUMBER($K$25:$K$33)*($J$25:$J$33&lt;$K$25:$K$33))+SUMPRODUCT(($L$25:$L$33=$B6)*ISNUMBER($J$25:$J$33)*ISNUMBER($K$25:$K$33)*($K$25:$K$33&lt;$J$25:$K$33))+SUMPRODUCT(($O$25:$O$33=$B6)*ISNUMBER($P$25:$P$33)*ISNUMBER($Q$25:$Q$33)*($P$25:$P$33&lt;$Q$25:$Q$33))+SUMPRODUCT(($R$25:$R$33=$B6)*ISNUMBER($P$25:$P$33)*ISNUMBER($Q$25:$Q$33)*($Q$25:$Q$33&lt;$P$25:$P$33))+SUMPRODUCT(($C$36:$C$44=$B6)*ISNUMBER($D$36:$D$44)*ISNUMBER($E$36:$E$44)*($D$36:$D$44&lt;$E$36:$E$44))+SUMPRODUCT(($F$36:$F$44=$B6)*ISNUMBER($D$36:$D$44)*ISNUMBER($E$36:$E$44)*($E$36:$E$44&lt;$D$36:$D$44))+SUMPRODUCT(($I$36:$I$44=$B6)*ISNUMBER($J$36:$J$44)*ISNUMBER($K$36:$K$44)*($J$36:$J$44&lt;$K$36:$K$44))+SUMPRODUCT(($L$36:$L$44=$B6)*ISNUMBER($J$36:$J$44)*ISNUMBER($K$36:$K$44)*($K$36:$K$44&lt;$J$36:$J$44))+SUMPRODUCT(($O$36:$O$44=$B6)*ISNUMBER($P$36:$P$44)*ISNUMBER($Q$36:$Q$44)*($P$36:$P$44&lt;$Q$36:$Q$44))+SUMPRODUCT(($R$36:$R$44=$B6)*ISNUMBER($P$36:$P$44)*ISNUMBER($Q$36:$Q$44)*($Q$36:$Q$44&lt;$P$36:$P$44))</f>
        <v>4</v>
      </c>
      <c r="E6" s="51">
        <f>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12</v>
      </c>
      <c r="F6" s="51">
        <f>SUMIF($C$14:$C$22,$B6,$E$14:$E$22)+SUMIF($F$14:$F$22,$B6,$D$14:$D$22)+SUMIF($I$14:$I$22,$B6,$K$14:$K$22)+SUMIF($L$14:$L$22,$B6,$J$14:$J$22)+SUMIF($O$14:$O$22,$B6,$Q$14:$Q$22)+SUMIF($R$14:$R$22,$B6,$P$14:$P$22)+SUMIF($C$25:$C$33,$B6,$E$25:$E$33)+SUMIF($F$25:$F$33,$B6,$D$25:$D$33)+SUMIF($I$25:$I$33,$B6,$K$25:$K$33)+SUMIF($L$25:$L$33,$B6,$J$25:$J$33)+SUMIF($O$25:$O$33,$B6,$Q$25:$Q$33)+SUMIF($R$25:$R$33,$B6,$P$25:$P$33)+SUMIF($C$36:$C$44,$B6,$E$36:$E$44)+SUMIF($F$36:$F$44,$B6,$D$36:$D$44)+SUMIF($I$36:$I$44,$B6,$K$36:$K$44)+SUMIF($L$36:$L$44,$B6,$J$36:$J$44)+SUMIF($O$36:$O$44,$B6,$Q$36:$Q$44)+SUMIF($R$36:$R$44,$B6,$P$36:$P$44)+SUMIF($C$47:$C$55,$B6,$E$47:$E$55)+SUMIF($F$47:$F$55,$B6,$D$47:$D$55)</f>
        <v>8</v>
      </c>
      <c r="G6" s="52">
        <f t="shared" si="5"/>
        <v>4</v>
      </c>
      <c r="I6" s="59"/>
      <c r="J6" s="60"/>
      <c r="K6" s="60"/>
      <c r="L6" s="60"/>
      <c r="M6" s="60"/>
      <c r="N6" s="60"/>
      <c r="O6" s="60"/>
      <c r="P6" s="60"/>
      <c r="Q6" s="60"/>
      <c r="R6" s="61"/>
      <c r="BF6" s="25" t="s">
        <v>54</v>
      </c>
      <c r="BG6" s="25">
        <f t="shared" si="0"/>
        <v>8</v>
      </c>
      <c r="BH6" s="25">
        <f t="shared" si="1"/>
        <v>12</v>
      </c>
      <c r="BI6" s="25">
        <f t="shared" si="2"/>
        <v>0</v>
      </c>
      <c r="BJ6" s="25">
        <f t="shared" si="3"/>
        <v>0</v>
      </c>
      <c r="BK6" s="100">
        <f t="shared" si="4"/>
        <v>1</v>
      </c>
      <c r="BL6" s="25"/>
    </row>
    <row r="7" spans="1:66" ht="15.75" x14ac:dyDescent="0.25">
      <c r="A7" s="53">
        <v>5</v>
      </c>
      <c r="B7" s="46" t="str">
        <f t="shared" si="6"/>
        <v>OMEGA</v>
      </c>
      <c r="C7" s="51">
        <f>SUMPRODUCT(($C$14:$C$22=$B7)*ISNUMBER($D$14:$D$22)*ISNUMBER($E$14:$E$22)*($D$14:$D$22&gt;$E$14:$E$22))+SUMPRODUCT(($F$14:$F$22=$B7)*ISNUMBER($D$14:$D$22)*ISNUMBER($E$14:$E$22)*($E$14:$E$22&gt;$D$14:$D$22))+SUMPRODUCT(($I$14:$I$22=$B7)*ISNUMBER($J$14:$J$22)*ISNUMBER($K$14:$K$22)*($J$14:$J$22&gt;$K$14:$K$22))+SUMPRODUCT(($L$14:$L$22=$B7)*ISNUMBER($J$14:$J$22)*ISNUMBER($K$14:$K$22)*($K$14:$K$22&gt;$J$14:$J$22))+SUMPRODUCT(($O$14:$O$22=$B7)*ISNUMBER($P$14:$P$22)*ISNUMBER($Q$14:$Q$22)*($P$14:$P$22&gt;$Q$14:$Q$22))+SUMPRODUCT(($R$14:$R$22=$B7)*ISNUMBER($P$14:$P$22)*ISNUMBER($Q$14:$Q$22)*($Q$14:$Q$22&gt;$P$14:$P$22))+SUMPRODUCT(($C$25:$C$33=$B7)*ISNUMBER($D$25:$D$33)*ISNUMBER($E$25:$E$33)*($D$25:$D$33&gt;$E$25:$E$33))+SUMPRODUCT(($F$25:$F$33=$B7)*ISNUMBER($D$25:$D$33)*ISNUMBER($E$25:$E$33)*($E$25:$E$33&gt;$D$25:$D$33))+SUMPRODUCT(($I$25:$I$33=$B7)*ISNUMBER($J$25:$J$33)*ISNUMBER($K$25:$K$33)*($J$25:$J$33&gt;$K$25:$K$33))+SUMPRODUCT(($L$25:$L$33=$B7)*ISNUMBER($J$25:$J$33)*ISNUMBER($K$25:$K$33)*($K$25:$K$33&gt;$J$25:$J$33))+SUMPRODUCT(($O$25:$O$33=$B7)*ISNUMBER($P$25:$P$33)*ISNUMBER($Q$25:$Q$33)*($P$25:$P$33&gt;$Q$25:$Q$33))+SUMPRODUCT(($R$25:$R$33=$B7)*ISNUMBER($P$25:$P$33)*ISNUMBER($Q$25:$Q$33)*($Q$25:$Q$33&gt;$P$25:$P$33))+SUMPRODUCT(($C$36:$C$44=$B7)*ISNUMBER($D$36:$D$44)*ISNUMBER($E$36:$E$44)*($D$36:$D$44&gt;$E$36:$E$44))+SUMPRODUCT(($F$36:$F$44=$B7)*ISNUMBER($D$36:$D$44)*ISNUMBER($E$36:$E$44)*($E$36:$E$44&gt;$D$36:$D$44))+SUMPRODUCT(($I$36:$I$44=$B7)*ISNUMBER($J$36:$J$44)*ISNUMBER($K$36:$K$44)*($J$36:$J$44&gt;$K$36:$K$44))+SUMPRODUCT(($L$36:$L$44=$B7)*ISNUMBER($J$36:$J$44)*ISNUMBER($K$36:$K$44)*($K$36:$K$44&gt;$J$36:$J$44))+SUMPRODUCT(($O$36:$O$44=$B7)*ISNUMBER($P$36:$P$44)*ISNUMBER($Q$36:$Q$44)*($P$36:$P$44&gt;$Q$36:$Q$44))+SUMPRODUCT(($R$36:$R$44=$B7)*ISNUMBER($P$36:$P$44)*ISNUMBER($Q$36:$Q$44)*($Q$36:$Q$44&gt;$P$36:$P$44))</f>
        <v>4</v>
      </c>
      <c r="D7" s="51">
        <f>SUMPRODUCT(($C$14:$C$22=$B7)*ISNUMBER($D$14:$D$22)*ISNUMBER($E$14:$E$22)*($D$14:$D$22&lt;$E$14:$E$22))+SUMPRODUCT(($F$14:$F$22=$B7)*ISNUMBER($D$14:$D$22)*ISNUMBER($E$14:$E$22)*($E$14:$E$22&lt;$D$14:$D$22))+SUMPRODUCT(($I$14:$I$22=$B7)*ISNUMBER($J$14:$J$22)*ISNUMBER($K$14:$K$22)*($J$14:$J$22&lt;$K$14:$K$22))+SUMPRODUCT(($L$14:$L$22=$B7)*ISNUMBER($J$14:$J$22)*ISNUMBER($K$14:$K$22)*($K$14:$K$22&lt;$J$14:$J$22))+SUMPRODUCT(($O$14:$O$22=$B7)*ISNUMBER($P$14:$P$22)*ISNUMBER($Q$14:$Q$22)*($P$14:$P$22&lt;$Q$14:$Q$22))+SUMPRODUCT(($R$14:$R$22=$B7)*ISNUMBER($P$14:$P$22)*ISNUMBER($Q$14:$Q$22)*($Q$14:$Q$22&lt;$P$14:$P$22))+SUMPRODUCT(($C$25:$C$33=$B7)*ISNUMBER($D$25:$D$33)*ISNUMBER($E$25:$E$33)*($D$25:$D$33&lt;$E$25:$E$33))+SUMPRODUCT(($F$25:$F$33=$B7)*ISNUMBER($D$25:$D$33)*ISNUMBER($E$25:$E$33)*($E$25:$E$33&lt;$D$25:$D$33))+SUMPRODUCT(($I$25:$I$33=$B7)*ISNUMBER($J$25:$J$33)*ISNUMBER($K$25:$K$33)*($J$25:$J$33&lt;$K$25:$K$33))+SUMPRODUCT(($L$25:$L$33=$B7)*ISNUMBER($J$25:$J$33)*ISNUMBER($K$25:$K$33)*($K$25:$K$33&lt;$J$25:$K$33))+SUMPRODUCT(($O$25:$O$33=$B7)*ISNUMBER($P$25:$P$33)*ISNUMBER($Q$25:$Q$33)*($P$25:$P$33&lt;$Q$25:$Q$33))+SUMPRODUCT(($R$25:$R$33=$B7)*ISNUMBER($P$25:$P$33)*ISNUMBER($Q$25:$Q$33)*($Q$25:$Q$33&lt;$P$25:$P$33))+SUMPRODUCT(($C$36:$C$44=$B7)*ISNUMBER($D$36:$D$44)*ISNUMBER($E$36:$E$44)*($D$36:$D$44&lt;$E$36:$E$44))+SUMPRODUCT(($F$36:$F$44=$B7)*ISNUMBER($D$36:$D$44)*ISNUMBER($E$36:$E$44)*($E$36:$E$44&lt;$D$36:$D$44))+SUMPRODUCT(($I$36:$I$44=$B7)*ISNUMBER($J$36:$J$44)*ISNUMBER($K$36:$K$44)*($J$36:$J$44&lt;$K$36:$K$44))+SUMPRODUCT(($L$36:$L$44=$B7)*ISNUMBER($J$36:$J$44)*ISNUMBER($K$36:$K$44)*($K$36:$K$44&lt;$J$36:$J$44))+SUMPRODUCT(($O$36:$O$44=$B7)*ISNUMBER($P$36:$P$44)*ISNUMBER($Q$36:$Q$44)*($P$36:$P$44&lt;$Q$36:$Q$44))+SUMPRODUCT(($R$36:$R$44=$B7)*ISNUMBER($P$36:$P$44)*ISNUMBER($Q$36:$Q$44)*($Q$36:$Q$44&lt;$P$36:$P$44))</f>
        <v>6</v>
      </c>
      <c r="E7" s="51">
        <f>SUMIF($C$14:$C$22,$B7,$D$14:$D$22)+SUMIF($F$14:$F$22,$B7,$E$14:$E$22)+SUMIF($I$14:$I$22,$B7,$J$14:$J$22)+SUMIF($L$14:$L$22,$B7,$K$14:$K$22)+SUMIF($O$14:$O$22,$B7,$P$14:$P$22)+SUMIF($R$14:$R$22,$B7,$Q$14:$Q$22)+SUMIF($C$25:$C$33,$B7,$D$25:$D$33)+SUMIF($F$25:$F$33,$B7,$E$25:$E$33)+SUMIF($I$25:$I$33,$B7,$J$25:$J$33)+SUMIF($L$25:$L$33,$B7,$K$25:$K$33)+SUMIF($O$25:$O$33,$B7,$P$25:$P$33)+SUMIF($R$25:$R$33,$B7,$Q$25:$Q$33)+SUMIF($C$36:$C$44,$B7,$D$36:$D$44)+SUMIF($F$36:$F$44,$B7,$E$36:$E$44)+SUMIF($I$36:$I$44,$B7,$J$36:$J$44)+SUMIF($L$36:$L$44,$B7,$K$36:$K$44)+SUMIF($O$36:$O$44,$B7,$P$36:$P$44)+SUMIF($R$36:$R$44,$B7,$Q$36:$Q$44)+SUMIF($C$47:$C$55,$B5,$D$47:$D$55)+SUMIF($F$47:$F$55,$B5,$E$47:$E$55)</f>
        <v>9</v>
      </c>
      <c r="F7" s="51">
        <f>SUMIF($C$14:$C$22,$B7,$E$14:$E$22)+SUMIF($F$14:$F$22,$B7,$D$14:$D$22)+SUMIF($I$14:$I$22,$B7,$K$14:$K$22)+SUMIF($L$14:$L$22,$B7,$J$14:$J$22)+SUMIF($O$14:$O$22,$B7,$Q$14:$Q$22)+SUMIF($R$14:$R$22,$B7,$P$14:$P$22)+SUMIF($C$25:$C$33,$B7,$E$25:$E$33)+SUMIF($F$25:$F$33,$B7,$D$25:$D$33)+SUMIF($I$25:$I$33,$B7,$K$25:$K$33)+SUMIF($L$25:$L$33,$B7,$J$25:$J$33)+SUMIF($O$25:$O$33,$B7,$Q$25:$Q$33)+SUMIF($R$25:$R$33,$B7,$P$25:$P$33)+SUMIF($C$36:$C$44,$B7,$E$36:$E$44)+SUMIF($F$36:$F$44,$B7,$D$36:$D$44)+SUMIF($I$36:$I$44,$B7,$K$36:$K$44)+SUMIF($L$36:$L$44,$B7,$J$36:$J$44)+SUMIF($O$36:$O$44,$B7,$Q$36:$Q$44)+SUMIF($R$36:$R$44,$B7,$P$36:$P$44)+SUMIF($C$47:$C$55,$B7,$E$47:$E$55)+SUMIF($F$47:$F$55,$B7,$D$47:$D$55)</f>
        <v>16</v>
      </c>
      <c r="G7" s="52">
        <f t="shared" si="5"/>
        <v>-7</v>
      </c>
      <c r="I7" s="59"/>
      <c r="J7" s="60"/>
      <c r="K7" s="60"/>
      <c r="L7" s="60"/>
      <c r="M7" s="60"/>
      <c r="N7" s="60"/>
      <c r="O7" s="60"/>
      <c r="P7" s="60"/>
      <c r="Q7" s="60"/>
      <c r="R7" s="61"/>
      <c r="BF7" s="25" t="s">
        <v>55</v>
      </c>
      <c r="BG7" s="25">
        <f t="shared" si="0"/>
        <v>3</v>
      </c>
      <c r="BH7" s="25">
        <f t="shared" si="1"/>
        <v>-5</v>
      </c>
      <c r="BI7" s="25">
        <f t="shared" si="2"/>
        <v>0</v>
      </c>
      <c r="BJ7" s="25">
        <f t="shared" si="3"/>
        <v>0</v>
      </c>
      <c r="BK7" s="100">
        <f t="shared" si="4"/>
        <v>6</v>
      </c>
      <c r="BL7" s="25"/>
    </row>
    <row r="8" spans="1:66" ht="15.75" x14ac:dyDescent="0.25">
      <c r="A8" s="101">
        <v>6</v>
      </c>
      <c r="B8" s="102" t="str">
        <f t="shared" si="6"/>
        <v>TNC</v>
      </c>
      <c r="C8" s="103">
        <f>SUMPRODUCT(($C$14:$C$22=$B8)*ISNUMBER($D$14:$D$22)*ISNUMBER($E$14:$E$22)*($D$14:$D$22&gt;$E$14:$E$22))+SUMPRODUCT(($F$14:$F$22=$B8)*ISNUMBER($D$14:$D$22)*ISNUMBER($E$14:$E$22)*($E$14:$E$22&gt;$D$14:$D$22))+SUMPRODUCT(($I$14:$I$22=$B8)*ISNUMBER($J$14:$J$22)*ISNUMBER($K$14:$K$22)*($J$14:$J$22&gt;$K$14:$K$22))+SUMPRODUCT(($L$14:$L$22=$B8)*ISNUMBER($J$14:$J$22)*ISNUMBER($K$14:$K$22)*($K$14:$K$22&gt;$J$14:$J$22))+SUMPRODUCT(($O$14:$O$22=$B8)*ISNUMBER($P$14:$P$22)*ISNUMBER($Q$14:$Q$22)*($P$14:$P$22&gt;$Q$14:$Q$22))+SUMPRODUCT(($R$14:$R$22=$B8)*ISNUMBER($P$14:$P$22)*ISNUMBER($Q$14:$Q$22)*($Q$14:$Q$22&gt;$P$14:$P$22))+SUMPRODUCT(($C$25:$C$33=$B8)*ISNUMBER($D$25:$D$33)*ISNUMBER($E$25:$E$33)*($D$25:$D$33&gt;$E$25:$E$33))+SUMPRODUCT(($F$25:$F$33=$B8)*ISNUMBER($D$25:$D$33)*ISNUMBER($E$25:$E$33)*($E$25:$E$33&gt;$D$25:$D$33))+SUMPRODUCT(($I$25:$I$33=$B8)*ISNUMBER($J$25:$J$33)*ISNUMBER($K$25:$K$33)*($J$25:$J$33&gt;$K$25:$K$33))+SUMPRODUCT(($L$25:$L$33=$B8)*ISNUMBER($J$25:$J$33)*ISNUMBER($K$25:$K$33)*($K$25:$K$33&gt;$J$25:$J$33))+SUMPRODUCT(($O$25:$O$33=$B8)*ISNUMBER($P$25:$P$33)*ISNUMBER($Q$25:$Q$33)*($P$25:$P$33&gt;$Q$25:$Q$33))+SUMPRODUCT(($R$25:$R$33=$B8)*ISNUMBER($P$25:$P$33)*ISNUMBER($Q$25:$Q$33)*($Q$25:$Q$33&gt;$P$25:$P$33))+SUMPRODUCT(($C$36:$C$44=$B8)*ISNUMBER($D$36:$D$44)*ISNUMBER($E$36:$E$44)*($D$36:$D$44&gt;$E$36:$E$44))+SUMPRODUCT(($F$36:$F$44=$B8)*ISNUMBER($D$36:$D$44)*ISNUMBER($E$36:$E$44)*($E$36:$E$44&gt;$D$36:$D$44))+SUMPRODUCT(($I$36:$I$44=$B8)*ISNUMBER($J$36:$J$44)*ISNUMBER($K$36:$K$44)*($J$36:$J$44&gt;$K$36:$K$44))+SUMPRODUCT(($L$36:$L$44=$B8)*ISNUMBER($J$36:$J$44)*ISNUMBER($K$36:$K$44)*($K$36:$K$44&gt;$J$36:$J$44))+SUMPRODUCT(($O$36:$O$44=$B8)*ISNUMBER($P$36:$P$44)*ISNUMBER($Q$36:$Q$44)*($P$36:$P$44&gt;$Q$36:$Q$44))+SUMPRODUCT(($R$36:$R$44=$B8)*ISNUMBER($P$36:$P$44)*ISNUMBER($Q$36:$Q$44)*($Q$36:$Q$44&gt;$P$36:$P$44))</f>
        <v>3</v>
      </c>
      <c r="D8" s="103">
        <f>SUMPRODUCT(($C$14:$C$22=$B8)*ISNUMBER($D$14:$D$22)*ISNUMBER($E$14:$E$22)*($D$14:$D$22&lt;$E$14:$E$22))+SUMPRODUCT(($F$14:$F$22=$B8)*ISNUMBER($D$14:$D$22)*ISNUMBER($E$14:$E$22)*($E$14:$E$22&lt;$D$14:$D$22))+SUMPRODUCT(($I$14:$I$22=$B8)*ISNUMBER($J$14:$J$22)*ISNUMBER($K$14:$K$22)*($J$14:$J$22&lt;$K$14:$K$22))+SUMPRODUCT(($L$14:$L$22=$B8)*ISNUMBER($J$14:$J$22)*ISNUMBER($K$14:$K$22)*($K$14:$K$22&lt;$J$14:$J$22))+SUMPRODUCT(($O$14:$O$22=$B8)*ISNUMBER($P$14:$P$22)*ISNUMBER($Q$14:$Q$22)*($P$14:$P$22&lt;$Q$14:$Q$22))+SUMPRODUCT(($R$14:$R$22=$B8)*ISNUMBER($P$14:$P$22)*ISNUMBER($Q$14:$Q$22)*($Q$14:$Q$22&lt;$P$14:$P$22))+SUMPRODUCT(($C$25:$C$33=$B8)*ISNUMBER($D$25:$D$33)*ISNUMBER($E$25:$E$33)*($D$25:$D$33&lt;$E$25:$E$33))+SUMPRODUCT(($F$25:$F$33=$B8)*ISNUMBER($D$25:$D$33)*ISNUMBER($E$25:$E$33)*($E$25:$E$33&lt;$D$25:$D$33))+SUMPRODUCT(($I$25:$I$33=$B8)*ISNUMBER($J$25:$J$33)*ISNUMBER($K$25:$K$33)*($J$25:$J$33&lt;$K$25:$K$33))+SUMPRODUCT(($L$25:$L$33=$B8)*ISNUMBER($J$25:$J$33)*ISNUMBER($K$25:$K$33)*($K$25:$K$33&lt;$J$25:$K$33))+SUMPRODUCT(($O$25:$O$33=$B8)*ISNUMBER($P$25:$P$33)*ISNUMBER($Q$25:$Q$33)*($P$25:$P$33&lt;$Q$25:$Q$33))+SUMPRODUCT(($R$25:$R$33=$B8)*ISNUMBER($P$25:$P$33)*ISNUMBER($Q$25:$Q$33)*($Q$25:$Q$33&lt;$P$25:$P$33))+SUMPRODUCT(($C$36:$C$44=$B8)*ISNUMBER($D$36:$D$44)*ISNUMBER($E$36:$E$44)*($D$36:$D$44&lt;$E$36:$E$44))+SUMPRODUCT(($F$36:$F$44=$B8)*ISNUMBER($D$36:$D$44)*ISNUMBER($E$36:$E$44)*($E$36:$E$44&lt;$D$36:$D$44))+SUMPRODUCT(($I$36:$I$44=$B8)*ISNUMBER($J$36:$J$44)*ISNUMBER($K$36:$K$44)*($J$36:$J$44&lt;$K$36:$K$44))+SUMPRODUCT(($L$36:$L$44=$B8)*ISNUMBER($J$36:$J$44)*ISNUMBER($K$36:$K$44)*($K$36:$K$44&lt;$J$36:$J$44))+SUMPRODUCT(($O$36:$O$44=$B8)*ISNUMBER($P$36:$P$44)*ISNUMBER($Q$36:$Q$44)*($P$36:$P$44&lt;$Q$36:$Q$44))+SUMPRODUCT(($R$36:$R$44=$B8)*ISNUMBER($P$36:$P$44)*ISNUMBER($Q$36:$Q$44)*($Q$36:$Q$44&lt;$P$36:$P$44))</f>
        <v>6</v>
      </c>
      <c r="E8" s="103">
        <f>SUMIF($C$14:$C$22,$B8,$D$14:$D$22)+SUMIF($F$14:$F$22,$B8,$E$14:$E$22)+SUMIF($I$14:$I$22,$B8,$J$14:$J$22)+SUMIF($L$14:$L$22,$B8,$K$14:$K$22)+SUMIF($O$14:$O$22,$B8,$P$14:$P$22)+SUMIF($R$14:$R$22,$B8,$Q$14:$Q$22)+SUMIF($C$25:$C$33,$B8,$D$25:$D$33)+SUMIF($F$25:$F$33,$B8,$E$25:$E$33)+SUMIF($I$25:$I$33,$B8,$J$25:$J$33)+SUMIF($L$25:$L$33,$B8,$K$25:$K$33)+SUMIF($O$25:$O$33,$B8,$P$25:$P$33)+SUMIF($R$25:$R$33,$B8,$Q$25:$Q$33)+SUMIF($C$36:$C$44,$B8,$D$36:$D$44)+SUMIF($F$36:$F$44,$B8,$E$36:$E$44)+SUMIF($I$36:$I$44,$B8,$J$36:$J$44)+SUMIF($L$36:$L$44,$B8,$K$36:$K$44)+SUMIF($O$36:$O$44,$B8,$P$36:$P$44)+SUMIF($R$36:$R$44,$B8,$Q$36:$Q$44)+SUMIF($C$47:$C$55,$B6,$D$47:$D$55)+SUMIF($F$47:$F$55,$B6,$E$47:$E$55)</f>
        <v>9</v>
      </c>
      <c r="F8" s="103">
        <f>SUMIF($C$14:$C$22,$B8,$E$14:$E$22)+SUMIF($F$14:$F$22,$B8,$D$14:$D$22)+SUMIF($I$14:$I$22,$B8,$K$14:$K$22)+SUMIF($L$14:$L$22,$B8,$J$14:$J$22)+SUMIF($O$14:$O$22,$B8,$Q$14:$Q$22)+SUMIF($R$14:$R$22,$B8,$P$14:$P$22)+SUMIF($C$25:$C$33,$B8,$E$25:$E$33)+SUMIF($F$25:$F$33,$B8,$D$25:$D$33)+SUMIF($I$25:$I$33,$B8,$K$25:$K$33)+SUMIF($L$25:$L$33,$B8,$J$25:$J$33)+SUMIF($O$25:$O$33,$B8,$Q$25:$Q$33)+SUMIF($R$25:$R$33,$B8,$P$25:$P$33)+SUMIF($C$36:$C$44,$B8,$E$36:$E$44)+SUMIF($F$36:$F$44,$B8,$D$36:$D$44)+SUMIF($I$36:$I$44,$B8,$K$36:$K$44)+SUMIF($L$36:$L$44,$B8,$J$36:$J$44)+SUMIF($O$36:$O$44,$B8,$Q$36:$Q$44)+SUMIF($R$36:$R$44,$B8,$P$36:$P$44)+SUMIF($C$47:$C$55,$B8,$E$47:$E$55)+SUMIF($F$47:$F$55,$B8,$D$47:$D$55)</f>
        <v>14</v>
      </c>
      <c r="G8" s="104">
        <f t="shared" si="5"/>
        <v>-5</v>
      </c>
      <c r="I8" s="59"/>
      <c r="J8" s="60"/>
      <c r="K8" s="60"/>
      <c r="L8" s="60"/>
      <c r="M8" s="60"/>
      <c r="N8" s="60"/>
      <c r="O8" s="60"/>
      <c r="P8" s="60"/>
      <c r="Q8" s="60"/>
      <c r="R8" s="61"/>
      <c r="BF8" s="25" t="s">
        <v>57</v>
      </c>
      <c r="BG8" s="25">
        <f t="shared" si="0"/>
        <v>0</v>
      </c>
      <c r="BH8" s="25">
        <f t="shared" si="1"/>
        <v>-16</v>
      </c>
      <c r="BI8" s="25">
        <f t="shared" si="2"/>
        <v>0</v>
      </c>
      <c r="BJ8" s="25">
        <f t="shared" si="3"/>
        <v>0</v>
      </c>
      <c r="BK8" s="100">
        <f t="shared" si="4"/>
        <v>8</v>
      </c>
      <c r="BL8" s="25"/>
    </row>
    <row r="9" spans="1:66" ht="15.75" x14ac:dyDescent="0.25">
      <c r="A9" s="105">
        <v>7</v>
      </c>
      <c r="B9" s="96" t="str">
        <f t="shared" si="6"/>
        <v>AP.BREN</v>
      </c>
      <c r="C9" s="39">
        <f>SUMPRODUCT(($C$14:$C$22=$B9)*ISNUMBER($D$14:$D$22)*ISNUMBER($E$14:$E$22)*($D$14:$D$22&gt;$E$14:$E$22))+SUMPRODUCT(($F$14:$F$22=$B9)*ISNUMBER($D$14:$D$22)*ISNUMBER($E$14:$E$22)*($E$14:$E$22&gt;$D$14:$D$22))+SUMPRODUCT(($I$14:$I$22=$B9)*ISNUMBER($J$14:$J$22)*ISNUMBER($K$14:$K$22)*($J$14:$J$22&gt;$K$14:$K$22))+SUMPRODUCT(($L$14:$L$22=$B9)*ISNUMBER($J$14:$J$22)*ISNUMBER($K$14:$K$22)*($K$14:$K$22&gt;$J$14:$J$22))+SUMPRODUCT(($O$14:$O$22=$B9)*ISNUMBER($P$14:$P$22)*ISNUMBER($Q$14:$Q$22)*($P$14:$P$22&gt;$Q$14:$Q$22))+SUMPRODUCT(($R$14:$R$22=$B9)*ISNUMBER($P$14:$P$22)*ISNUMBER($Q$14:$Q$22)*($Q$14:$Q$22&gt;$P$14:$P$22))+SUMPRODUCT(($C$25:$C$33=$B9)*ISNUMBER($D$25:$D$33)*ISNUMBER($E$25:$E$33)*($D$25:$D$33&gt;$E$25:$E$33))+SUMPRODUCT(($F$25:$F$33=$B9)*ISNUMBER($D$25:$D$33)*ISNUMBER($E$25:$E$33)*($E$25:$E$33&gt;$D$25:$D$33))+SUMPRODUCT(($I$25:$I$33=$B9)*ISNUMBER($J$25:$J$33)*ISNUMBER($K$25:$K$33)*($J$25:$J$33&gt;$K$25:$K$33))+SUMPRODUCT(($L$25:$L$33=$B9)*ISNUMBER($J$25:$J$33)*ISNUMBER($K$25:$K$33)*($K$25:$K$33&gt;$J$25:$J$33))+SUMPRODUCT(($O$25:$O$33=$B9)*ISNUMBER($P$25:$P$33)*ISNUMBER($Q$25:$Q$33)*($P$25:$P$33&gt;$Q$25:$Q$33))+SUMPRODUCT(($R$25:$R$33=$B9)*ISNUMBER($P$25:$P$33)*ISNUMBER($Q$25:$Q$33)*($Q$25:$Q$33&gt;$P$25:$P$33))+SUMPRODUCT(($C$36:$C$44=$B9)*ISNUMBER($D$36:$D$44)*ISNUMBER($E$36:$E$44)*($D$36:$D$44&gt;$E$36:$E$44))+SUMPRODUCT(($F$36:$F$44=$B9)*ISNUMBER($D$36:$D$44)*ISNUMBER($E$36:$E$44)*($E$36:$E$44&gt;$D$36:$D$44))+SUMPRODUCT(($I$36:$I$44=$B9)*ISNUMBER($J$36:$J$44)*ISNUMBER($K$36:$K$44)*($J$36:$J$44&gt;$K$36:$K$44))+SUMPRODUCT(($L$36:$L$44=$B9)*ISNUMBER($J$36:$J$44)*ISNUMBER($K$36:$K$44)*($K$36:$K$44&gt;$J$36:$J$44))+SUMPRODUCT(($O$36:$O$44=$B9)*ISNUMBER($P$36:$P$44)*ISNUMBER($Q$36:$Q$44)*($P$36:$P$44&gt;$Q$36:$Q$44))+SUMPRODUCT(($R$36:$R$44=$B9)*ISNUMBER($P$36:$P$44)*ISNUMBER($Q$36:$Q$44)*($Q$36:$Q$44&gt;$P$36:$P$44))</f>
        <v>3</v>
      </c>
      <c r="D9" s="39">
        <f>SUMPRODUCT(($C$14:$C$22=$B9)*ISNUMBER($D$14:$D$22)*ISNUMBER($E$14:$E$22)*($D$14:$D$22&lt;$E$14:$E$22))+SUMPRODUCT(($F$14:$F$22=$B9)*ISNUMBER($D$14:$D$22)*ISNUMBER($E$14:$E$22)*($E$14:$E$22&lt;$D$14:$D$22))+SUMPRODUCT(($I$14:$I$22=$B9)*ISNUMBER($J$14:$J$22)*ISNUMBER($K$14:$K$22)*($J$14:$J$22&lt;$K$14:$K$22))+SUMPRODUCT(($L$14:$L$22=$B9)*ISNUMBER($J$14:$J$22)*ISNUMBER($K$14:$K$22)*($K$14:$K$22&lt;$J$14:$J$22))+SUMPRODUCT(($O$14:$O$22=$B9)*ISNUMBER($P$14:$P$22)*ISNUMBER($Q$14:$Q$22)*($P$14:$P$22&lt;$Q$14:$Q$22))+SUMPRODUCT(($R$14:$R$22=$B9)*ISNUMBER($P$14:$P$22)*ISNUMBER($Q$14:$Q$22)*($Q$14:$Q$22&lt;$P$14:$P$22))+SUMPRODUCT(($C$25:$C$33=$B9)*ISNUMBER($D$25:$D$33)*ISNUMBER($E$25:$E$33)*($D$25:$D$33&lt;$E$25:$E$33))+SUMPRODUCT(($F$25:$F$33=$B9)*ISNUMBER($D$25:$D$33)*ISNUMBER($E$25:$E$33)*($E$25:$E$33&lt;$D$25:$D$33))+SUMPRODUCT(($I$25:$I$33=$B9)*ISNUMBER($J$25:$J$33)*ISNUMBER($K$25:$K$33)*($J$25:$J$33&lt;$K$25:$K$33))+SUMPRODUCT(($L$25:$L$33=$B9)*ISNUMBER($J$25:$J$33)*ISNUMBER($K$25:$K$33)*($K$25:$K$33&lt;$J$25:$K$33))+SUMPRODUCT(($O$25:$O$33=$B9)*ISNUMBER($P$25:$P$33)*ISNUMBER($Q$25:$Q$33)*($P$25:$P$33&lt;$Q$25:$Q$33))+SUMPRODUCT(($R$25:$R$33=$B9)*ISNUMBER($P$25:$P$33)*ISNUMBER($Q$25:$Q$33)*($Q$25:$Q$33&lt;$P$25:$P$33))+SUMPRODUCT(($C$36:$C$44=$B9)*ISNUMBER($D$36:$D$44)*ISNUMBER($E$36:$E$44)*($D$36:$D$44&lt;$E$36:$E$44))+SUMPRODUCT(($F$36:$F$44=$B9)*ISNUMBER($D$36:$D$44)*ISNUMBER($E$36:$E$44)*($E$36:$E$44&lt;$D$36:$D$44))+SUMPRODUCT(($I$36:$I$44=$B9)*ISNUMBER($J$36:$J$44)*ISNUMBER($K$36:$K$44)*($J$36:$J$44&lt;$K$36:$K$44))+SUMPRODUCT(($L$36:$L$44=$B9)*ISNUMBER($J$36:$J$44)*ISNUMBER($K$36:$K$44)*($K$36:$K$44&lt;$J$36:$J$44))+SUMPRODUCT(($O$36:$O$44=$B9)*ISNUMBER($P$36:$P$44)*ISNUMBER($Q$36:$Q$44)*($P$36:$P$44&lt;$Q$36:$Q$44))+SUMPRODUCT(($R$36:$R$44=$B9)*ISNUMBER($P$36:$P$44)*ISNUMBER($Q$36:$Q$44)*($Q$36:$Q$44&lt;$P$36:$P$44))</f>
        <v>7</v>
      </c>
      <c r="E9" s="39">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9</v>
      </c>
      <c r="F9" s="39">
        <f>SUMIF($C$14:$C$22,$B9,$E$14:$E$22)+SUMIF($F$14:$F$22,$B9,$D$14:$D$22)+SUMIF($I$14:$I$22,$B9,$K$14:$K$22)+SUMIF($L$14:$L$22,$B9,$J$14:$J$22)+SUMIF($O$14:$O$22,$B9,$Q$14:$Q$22)+SUMIF($R$14:$R$22,$B9,$P$14:$P$22)+SUMIF($C$25:$C$33,$B9,$E$25:$E$33)+SUMIF($F$25:$F$33,$B9,$D$25:$D$33)+SUMIF($I$25:$I$33,$B9,$K$25:$K$33)+SUMIF($L$25:$L$33,$B9,$J$25:$J$33)+SUMIF($O$25:$O$33,$B9,$Q$25:$Q$33)+SUMIF($R$25:$R$33,$B9,$P$25:$P$33)+SUMIF($C$36:$C$44,$B9,$E$36:$E$44)+SUMIF($F$36:$F$44,$B9,$D$36:$D$44)+SUMIF($I$36:$I$44,$B9,$K$36:$K$44)+SUMIF($L$36:$L$44,$B9,$J$36:$J$44)+SUMIF($O$36:$O$44,$B9,$Q$36:$Q$44)+SUMIF($R$36:$R$44,$B9,$P$36:$P$44)+SUMIF($C$47:$C$55,$B9,$E$47:$E$55)+SUMIF($F$47:$F$55,$B9,$D$47:$D$55)</f>
        <v>15</v>
      </c>
      <c r="G9" s="106">
        <f t="shared" si="5"/>
        <v>-6</v>
      </c>
      <c r="I9" s="59"/>
      <c r="J9" s="60"/>
      <c r="K9" s="60"/>
      <c r="L9" s="60"/>
      <c r="M9" s="60"/>
      <c r="N9" s="60"/>
      <c r="O9" s="60"/>
      <c r="P9" s="60"/>
      <c r="Q9" s="60"/>
      <c r="R9" s="61"/>
      <c r="BF9" s="25"/>
      <c r="BG9" s="25"/>
      <c r="BH9" s="25"/>
      <c r="BI9" s="25"/>
      <c r="BJ9" s="25"/>
      <c r="BL9" s="25"/>
    </row>
    <row r="10" spans="1:66" ht="16.5" thickBot="1" x14ac:dyDescent="0.3">
      <c r="A10" s="105">
        <v>8</v>
      </c>
      <c r="B10" s="96" t="str">
        <f t="shared" si="6"/>
        <v>TWIS PH</v>
      </c>
      <c r="C10" s="39">
        <f>SUMPRODUCT(($C$14:$C$22=$B10)*ISNUMBER($D$14:$D$22)*ISNUMBER($E$14:$E$22)*($D$14:$D$22&gt;$E$14:$E$22))+SUMPRODUCT(($F$14:$F$22=$B10)*ISNUMBER($D$14:$D$22)*ISNUMBER($E$14:$E$22)*($E$14:$E$22&gt;$D$14:$D$22))+SUMPRODUCT(($I$14:$I$22=$B10)*ISNUMBER($J$14:$J$22)*ISNUMBER($K$14:$K$22)*($J$14:$J$22&gt;$K$14:$K$22))+SUMPRODUCT(($L$14:$L$22=$B10)*ISNUMBER($J$14:$J$22)*ISNUMBER($K$14:$K$22)*($K$14:$K$22&gt;$J$14:$J$22))+SUMPRODUCT(($O$14:$O$22=$B10)*ISNUMBER($P$14:$P$22)*ISNUMBER($Q$14:$Q$22)*($P$14:$P$22&gt;$Q$14:$Q$22))+SUMPRODUCT(($R$14:$R$22=$B10)*ISNUMBER($P$14:$P$22)*ISNUMBER($Q$14:$Q$22)*($Q$14:$Q$22&gt;$P$14:$P$22))+SUMPRODUCT(($C$25:$C$33=$B10)*ISNUMBER($D$25:$D$33)*ISNUMBER($E$25:$E$33)*($D$25:$D$33&gt;$E$25:$E$33))+SUMPRODUCT(($F$25:$F$33=$B10)*ISNUMBER($D$25:$D$33)*ISNUMBER($E$25:$E$33)*($E$25:$E$33&gt;$D$25:$D$33))+SUMPRODUCT(($I$25:$I$33=$B10)*ISNUMBER($J$25:$J$33)*ISNUMBER($K$25:$K$33)*($J$25:$J$33&gt;$K$25:$K$33))+SUMPRODUCT(($L$25:$L$33=$B10)*ISNUMBER($J$25:$J$33)*ISNUMBER($K$25:$K$33)*($K$25:$K$33&gt;$J$25:$J$33))+SUMPRODUCT(($O$25:$O$33=$B10)*ISNUMBER($P$25:$P$33)*ISNUMBER($Q$25:$Q$33)*($P$25:$P$33&gt;$Q$25:$Q$33))+SUMPRODUCT(($R$25:$R$33=$B10)*ISNUMBER($P$25:$P$33)*ISNUMBER($Q$25:$Q$33)*($Q$25:$Q$33&gt;$P$25:$P$33))+SUMPRODUCT(($C$36:$C$44=$B10)*ISNUMBER($D$36:$D$44)*ISNUMBER($E$36:$E$44)*($D$36:$D$44&gt;$E$36:$E$44))+SUMPRODUCT(($F$36:$F$44=$B10)*ISNUMBER($D$36:$D$44)*ISNUMBER($E$36:$E$44)*($E$36:$E$44&gt;$D$36:$D$44))+SUMPRODUCT(($I$36:$I$44=$B10)*ISNUMBER($J$36:$J$44)*ISNUMBER($K$36:$K$44)*($J$36:$J$44&gt;$K$36:$K$44))+SUMPRODUCT(($L$36:$L$44=$B10)*ISNUMBER($J$36:$J$44)*ISNUMBER($K$36:$K$44)*($K$36:$K$44&gt;$J$36:$J$44))+SUMPRODUCT(($O$36:$O$44=$B10)*ISNUMBER($P$36:$P$44)*ISNUMBER($Q$36:$Q$44)*($P$36:$P$44&gt;$Q$36:$Q$44))+SUMPRODUCT(($R$36:$R$44=$B10)*ISNUMBER($P$36:$P$44)*ISNUMBER($Q$36:$Q$44)*($Q$36:$Q$44&gt;$P$36:$P$44))</f>
        <v>0</v>
      </c>
      <c r="D10" s="39">
        <f>SUMPRODUCT(($C$14:$C$22=$B10)*ISNUMBER($D$14:$D$22)*ISNUMBER($E$14:$E$22)*($D$14:$D$22&lt;$E$14:$E$22))+SUMPRODUCT(($F$14:$F$22=$B10)*ISNUMBER($D$14:$D$22)*ISNUMBER($E$14:$E$22)*($E$14:$E$22&lt;$D$14:$D$22))+SUMPRODUCT(($I$14:$I$22=$B10)*ISNUMBER($J$14:$J$22)*ISNUMBER($K$14:$K$22)*($J$14:$J$22&lt;$K$14:$K$22))+SUMPRODUCT(($L$14:$L$22=$B10)*ISNUMBER($J$14:$J$22)*ISNUMBER($K$14:$K$22)*($K$14:$K$22&lt;$J$14:$J$22))+SUMPRODUCT(($O$14:$O$22=$B10)*ISNUMBER($P$14:$P$22)*ISNUMBER($Q$14:$Q$22)*($P$14:$P$22&lt;$Q$14:$Q$22))+SUMPRODUCT(($R$14:$R$22=$B10)*ISNUMBER($P$14:$P$22)*ISNUMBER($Q$14:$Q$22)*($Q$14:$Q$22&lt;$P$14:$P$22))+SUMPRODUCT(($C$25:$C$33=$B10)*ISNUMBER($D$25:$D$33)*ISNUMBER($E$25:$E$33)*($D$25:$D$33&lt;$E$25:$E$33))+SUMPRODUCT(($F$25:$F$33=$B10)*ISNUMBER($D$25:$D$33)*ISNUMBER($E$25:$E$33)*($E$25:$E$33&lt;$D$25:$D$33))+SUMPRODUCT(($I$25:$I$33=$B10)*ISNUMBER($J$25:$J$33)*ISNUMBER($K$25:$K$33)*($J$25:$J$33&lt;$K$25:$K$33))+SUMPRODUCT(($L$25:$L$33=$B10)*ISNUMBER($J$25:$J$33)*ISNUMBER($K$25:$K$33)*($K$25:$K$33&lt;$J$25:$K$33))+SUMPRODUCT(($O$25:$O$33=$B10)*ISNUMBER($P$25:$P$33)*ISNUMBER($Q$25:$Q$33)*($P$25:$P$33&lt;$Q$25:$Q$33))+SUMPRODUCT(($R$25:$R$33=$B10)*ISNUMBER($P$25:$P$33)*ISNUMBER($Q$25:$Q$33)*($Q$25:$Q$33&lt;$P$25:$P$33))+SUMPRODUCT(($C$36:$C$44=$B10)*ISNUMBER($D$36:$D$44)*ISNUMBER($E$36:$E$44)*($D$36:$D$44&lt;$E$36:$E$44))+SUMPRODUCT(($F$36:$F$44=$B10)*ISNUMBER($D$36:$D$44)*ISNUMBER($E$36:$E$44)*($E$36:$E$44&lt;$D$36:$D$44))+SUMPRODUCT(($I$36:$I$44=$B10)*ISNUMBER($J$36:$J$44)*ISNUMBER($K$36:$K$44)*($J$36:$J$44&lt;$K$36:$K$44))+SUMPRODUCT(($L$36:$L$44=$B10)*ISNUMBER($J$36:$J$44)*ISNUMBER($K$36:$K$44)*($K$36:$K$44&lt;$J$36:$J$44))+SUMPRODUCT(($O$36:$O$44=$B10)*ISNUMBER($P$36:$P$44)*ISNUMBER($Q$36:$Q$44)*($P$36:$P$44&lt;$Q$36:$Q$44))+SUMPRODUCT(($R$36:$R$44=$B10)*ISNUMBER($P$36:$P$44)*ISNUMBER($Q$36:$Q$44)*($Q$36:$Q$44&lt;$P$36:$P$44))</f>
        <v>9</v>
      </c>
      <c r="E10" s="39">
        <f>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2</v>
      </c>
      <c r="F10" s="39">
        <f>SUMIF($C$14:$C$22,$B10,$E$14:$E$22)+SUMIF($F$14:$F$22,$B10,$D$14:$D$22)+SUMIF($I$14:$I$22,$B10,$K$14:$K$22)+SUMIF($L$14:$L$22,$B10,$J$14:$J$22)+SUMIF($O$14:$O$22,$B10,$Q$14:$Q$22)+SUMIF($R$14:$R$22,$B10,$P$14:$P$22)+SUMIF($C$25:$C$33,$B10,$E$25:$E$33)+SUMIF($F$25:$F$33,$B10,$D$25:$D$33)+SUMIF($I$25:$I$33,$B10,$K$25:$K$33)+SUMIF($L$25:$L$33,$B10,$J$25:$J$33)+SUMIF($O$25:$O$33,$B10,$Q$25:$Q$33)+SUMIF($R$25:$R$33,$B10,$P$25:$P$33)+SUMIF($C$36:$C$44,$B10,$E$36:$E$44)+SUMIF($F$36:$F$44,$B10,$D$36:$D$44)+SUMIF($I$36:$I$44,$B10,$K$36:$K$44)+SUMIF($L$36:$L$44,$B10,$J$36:$J$44)+SUMIF($O$36:$O$44,$B10,$Q$36:$Q$44)+SUMIF($R$36:$R$44,$B10,$P$36:$P$44)+SUMIF($C$47:$C$55,$B10,$E$47:$E$55)+SUMIF($F$47:$F$55,$B10,$D$47:$D$55)</f>
        <v>18</v>
      </c>
      <c r="G10" s="106">
        <f t="shared" si="5"/>
        <v>-16</v>
      </c>
      <c r="I10" s="62" t="s">
        <v>35</v>
      </c>
      <c r="J10" s="63"/>
      <c r="K10" s="63"/>
      <c r="L10" s="63"/>
      <c r="M10" s="63"/>
      <c r="N10" s="63"/>
      <c r="O10" s="63"/>
      <c r="P10" s="63"/>
      <c r="Q10" s="63"/>
      <c r="R10" s="64"/>
    </row>
    <row r="11" spans="1:66" ht="16.5" thickBot="1" x14ac:dyDescent="0.3">
      <c r="A11" s="107"/>
      <c r="B11" s="108"/>
      <c r="C11" s="40"/>
      <c r="D11" s="40"/>
      <c r="E11" s="40"/>
      <c r="F11" s="40"/>
      <c r="G11" s="109"/>
    </row>
    <row r="12" spans="1:66" x14ac:dyDescent="0.25">
      <c r="BG12" t="str">
        <f>BF13</f>
        <v>AP.BREN</v>
      </c>
      <c r="BH12" t="str">
        <f>BF14</f>
        <v>AUR PH</v>
      </c>
      <c r="BI12" t="str">
        <f>BF15</f>
        <v>OMEGA</v>
      </c>
      <c r="BJ12" t="str">
        <f>BF16</f>
        <v>ONIC PH</v>
      </c>
      <c r="BK12" t="str">
        <f>BF17</f>
        <v>T. FLCP</v>
      </c>
      <c r="BL12" t="str">
        <f>BF18</f>
        <v>TLPH</v>
      </c>
      <c r="BM12" t="str">
        <f>BF19</f>
        <v>TNC</v>
      </c>
      <c r="BN12" t="str">
        <f>BF20</f>
        <v>TWIS PH</v>
      </c>
    </row>
    <row r="13" spans="1:66" ht="16.5" thickBot="1" x14ac:dyDescent="0.3">
      <c r="B13" s="65" t="s">
        <v>0</v>
      </c>
      <c r="C13" s="66"/>
      <c r="D13" s="66"/>
      <c r="E13" s="66"/>
      <c r="F13" s="67"/>
      <c r="H13" s="65" t="s">
        <v>4</v>
      </c>
      <c r="I13" s="66"/>
      <c r="J13" s="66"/>
      <c r="K13" s="66"/>
      <c r="L13" s="67"/>
      <c r="N13" s="65" t="s">
        <v>5</v>
      </c>
      <c r="O13" s="66"/>
      <c r="P13" s="66"/>
      <c r="Q13" s="66"/>
      <c r="R13" s="67"/>
      <c r="BF13" s="25" t="str">
        <f>BF1</f>
        <v>AP.BREN</v>
      </c>
      <c r="BG13">
        <f>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ref="BH13:BO21" si="7">SUMPRODUCT(($C$14:$C$22=$BF13)*($F$14:$F$22=BH$12)*($D$14:$D$22&gt;$E$14:$E$22))+SUMPRODUCT(($F$14:$F$22=$BF13)*($C$14:$C$22=BH$12)*($E$14:$E$22&gt;$D$14:$D$22))+SUMPRODUCT(($I$14:$I$22=$BF13)*($L$14:$L$22=BH$12)*($J$14:$J$22&gt;$K$14:$K$22))+SUMPRODUCT(($L$14:$L$22=$BF13)*($I$14:$I$22=BH$12)*($K$14:$K$22&gt;$J$14:$J$22))+SUMPRODUCT(($O$14:$O$22=$BF13)*($R$14:$R$22=BH$12)*($P$14:$P$22&gt;$Q$14:$Q$22))+SUMPRODUCT(($R$14:$R$22=$BF13)*($O$14:$O$22=BH$12)*($Q$14:$Q$22&gt;$P$14:$P$22))+SUMPRODUCT(($C$25:$C$33=$BF13)*($F$25:$F$33=BH$12)*($D$25:$D$33&gt;$E$25:$E$33))+SUMPRODUCT(($F$25:$F$33=$BF13)*($C$25:$C$33=BH$12)*($E$25:$E$33&gt;$D$25:$D$33))+SUMPRODUCT(($I$25:$I$33=$BF13)*($L$25:$L$33=BH$12)*($J$25:$J$33&gt;$K$25:$K$33))+SUMPRODUCT(($L$25:$L$33=$BF13)*($I$25:$I$33=BH$12)*($K$25:$K$33&gt;$J$25:$J$33))+SUMPRODUCT(($O$25:$O$33=$BF13)*($R$25:$R$33=BH$12)*($P$25:$P$33&gt;$Q$25:$Q$33))+SUMPRODUCT(($R$25:$R$33=$BF13)*($O$25:$O$33=BH$12)*($Q$25:$Q$33&gt;$P$25:$P$33))+SUMPRODUCT(($C$37:$C$45=$BF13)*($F$37:$F$45=BH$12)*($D$37:$D$45&gt;$E$37:$E$45))+SUMPRODUCT(($F$37:$F$45=$BF13)*($C$37:$C$45=BH$12)*($E$37:$E$45&gt;$D$37:$D$45))+SUMPRODUCT(($I$37:$I$45=$BF13)*($L$37:$L$45=BH$12)*($J$37:$J$45&gt;$K$37:$K$45))+SUMPRODUCT(($L$37:$L$45=$BF13)*($I$37:$I$45=BH$12)*($K$37:$K$45&gt;$J$37:$J$45))+SUMPRODUCT(($O$37:$O$45=$BF13)*($R$37:$R$45=BH$12)*($P$37:$P$45&gt;$Q$37:$Q$45))+SUMPRODUCT(($R$37:$R$45=$BF13)*($O$37:$O$45=BH$12)*($Q$37:$Q$45&gt;$P$37:$P$45))</f>
        <v>0</v>
      </c>
      <c r="BI13">
        <f t="shared" si="7"/>
        <v>0</v>
      </c>
      <c r="BJ13">
        <f t="shared" si="7"/>
        <v>0</v>
      </c>
      <c r="BK13">
        <f t="shared" si="7"/>
        <v>0</v>
      </c>
      <c r="BL13">
        <f t="shared" si="7"/>
        <v>0</v>
      </c>
      <c r="BM13">
        <f t="shared" si="7"/>
        <v>1</v>
      </c>
      <c r="BN13">
        <f t="shared" si="7"/>
        <v>2</v>
      </c>
    </row>
    <row r="14" spans="1:66" ht="15.75" x14ac:dyDescent="0.25">
      <c r="B14" s="22" t="s">
        <v>1</v>
      </c>
      <c r="C14" s="23" t="s">
        <v>58</v>
      </c>
      <c r="D14" s="23">
        <v>0</v>
      </c>
      <c r="E14" s="23">
        <v>2</v>
      </c>
      <c r="F14" s="24" t="s">
        <v>53</v>
      </c>
      <c r="H14" s="22" t="s">
        <v>1</v>
      </c>
      <c r="I14" s="23" t="s">
        <v>51</v>
      </c>
      <c r="J14" s="23">
        <v>0</v>
      </c>
      <c r="K14" s="23">
        <v>2</v>
      </c>
      <c r="L14" s="24" t="s">
        <v>54</v>
      </c>
      <c r="N14" s="22" t="s">
        <v>1</v>
      </c>
      <c r="O14" s="23" t="s">
        <v>57</v>
      </c>
      <c r="P14" s="23">
        <v>0</v>
      </c>
      <c r="Q14" s="23">
        <v>2</v>
      </c>
      <c r="R14" s="24" t="s">
        <v>58</v>
      </c>
      <c r="BF14" s="25" t="str">
        <f t="shared" ref="BF14:BF21" si="8">BF2</f>
        <v>AUR PH</v>
      </c>
      <c r="BG14">
        <f t="shared" ref="BG14:BG21" si="9">SUMPRODUCT(($C$14:$C$22=$BF14)*($F$14:$F$22=BG$12)*($D$14:$D$22&gt;$E$14:$E$22))+SUMPRODUCT(($F$14:$F$22=$BF14)*($C$14:$C$22=BG$12)*($E$14:$E$22&gt;$D$14:$D$22))+SUMPRODUCT(($I$14:$I$22=$BF14)*($L$14:$L$22=BG$12)*($J$14:$J$22&gt;$K$14:$K$22))+SUMPRODUCT(($L$14:$L$22=$BF14)*($I$14:$I$22=BG$12)*($K$14:$K$22&gt;$J$14:$J$22))+SUMPRODUCT(($O$14:$O$22=$BF14)*($R$14:$R$22=BG$12)*($P$14:$P$22&gt;$Q$14:$Q$22))+SUMPRODUCT(($R$14:$R$22=$BF14)*($O$14:$O$22=BG$12)*($Q$14:$Q$22&gt;$P$14:$P$22))+SUMPRODUCT(($C$25:$C$33=$BF14)*($F$25:$F$33=BG$12)*($D$25:$D$33&gt;$E$25:$E$33))+SUMPRODUCT(($F$25:$F$33=$BF14)*($C$25:$C$33=BG$12)*($E$25:$E$33&gt;$D$25:$D$33))+SUMPRODUCT(($I$25:$I$33=$BF14)*($L$25:$L$33=BG$12)*($J$25:$J$33&gt;$K$25:$K$33))+SUMPRODUCT(($L$25:$L$33=$BF14)*($I$25:$I$33=BG$12)*($K$25:$K$33&gt;$J$25:$J$33))+SUMPRODUCT(($O$25:$O$33=$BF14)*($R$25:$R$33=BG$12)*($P$25:$P$33&gt;$Q$25:$Q$33))+SUMPRODUCT(($R$25:$R$33=$BF14)*($O$25:$O$33=BG$12)*($Q$25:$Q$33&gt;$P$25:$P$33))+SUMPRODUCT(($C$37:$C$45=$BF14)*($F$37:$F$45=BG$12)*($D$37:$D$45&gt;$E$37:$E$45))+SUMPRODUCT(($F$37:$F$45=$BF14)*($C$37:$C$45=BG$12)*($E$37:$E$45&gt;$D$37:$D$45))+SUMPRODUCT(($I$37:$I$45=$BF14)*($L$37:$L$45=BG$12)*($J$37:$J$45&gt;$K$37:$K$45))+SUMPRODUCT(($L$37:$L$45=$BF14)*($I$37:$I$45=BG$12)*($K$37:$K$45&gt;$J$37:$J$45))+SUMPRODUCT(($O$37:$O$45=$BF14)*($R$37:$R$45=BG$12)*($P$37:$P$45&gt;$Q$37:$Q$45))+SUMPRODUCT(($R$37:$R$45=$BF14)*($O$37:$O$45=BG$12)*($Q$37:$Q$45&gt;$P$37:$P$45))</f>
        <v>1</v>
      </c>
      <c r="BH14">
        <f t="shared" si="7"/>
        <v>0</v>
      </c>
      <c r="BI14">
        <f t="shared" si="7"/>
        <v>2</v>
      </c>
      <c r="BJ14">
        <f t="shared" si="7"/>
        <v>0</v>
      </c>
      <c r="BK14">
        <f t="shared" si="7"/>
        <v>0</v>
      </c>
      <c r="BL14">
        <f t="shared" si="7"/>
        <v>1</v>
      </c>
      <c r="BM14">
        <f t="shared" si="7"/>
        <v>0</v>
      </c>
      <c r="BN14">
        <f t="shared" si="7"/>
        <v>1</v>
      </c>
    </row>
    <row r="15" spans="1:66" ht="15.75" x14ac:dyDescent="0.25">
      <c r="B15" s="2"/>
      <c r="C15" s="1" t="s">
        <v>54</v>
      </c>
      <c r="D15" s="1">
        <v>1</v>
      </c>
      <c r="E15" s="1">
        <v>2</v>
      </c>
      <c r="F15" s="3" t="s">
        <v>56</v>
      </c>
      <c r="H15" s="2"/>
      <c r="I15" s="1" t="s">
        <v>57</v>
      </c>
      <c r="J15" s="1">
        <v>0</v>
      </c>
      <c r="K15" s="1">
        <v>2</v>
      </c>
      <c r="L15" s="3" t="s">
        <v>53</v>
      </c>
      <c r="N15" s="2"/>
      <c r="O15" s="1" t="s">
        <v>55</v>
      </c>
      <c r="P15" s="1">
        <v>1</v>
      </c>
      <c r="Q15" s="1">
        <v>2</v>
      </c>
      <c r="R15" s="3" t="s">
        <v>53</v>
      </c>
      <c r="BF15" s="25" t="str">
        <f t="shared" si="8"/>
        <v>OMEGA</v>
      </c>
      <c r="BG15">
        <f t="shared" si="9"/>
        <v>1</v>
      </c>
      <c r="BH15">
        <f t="shared" si="7"/>
        <v>0</v>
      </c>
      <c r="BI15">
        <f t="shared" si="7"/>
        <v>0</v>
      </c>
      <c r="BJ15">
        <f t="shared" si="7"/>
        <v>0</v>
      </c>
      <c r="BK15">
        <f t="shared" si="7"/>
        <v>1</v>
      </c>
      <c r="BL15">
        <f t="shared" si="7"/>
        <v>0</v>
      </c>
      <c r="BM15">
        <f t="shared" si="7"/>
        <v>1</v>
      </c>
      <c r="BN15">
        <f t="shared" si="7"/>
        <v>1</v>
      </c>
    </row>
    <row r="16" spans="1:66" ht="16.5" thickBot="1" x14ac:dyDescent="0.3">
      <c r="B16" s="4"/>
      <c r="C16" s="5"/>
      <c r="D16" s="5"/>
      <c r="E16" s="5"/>
      <c r="F16" s="6"/>
      <c r="H16" s="4"/>
      <c r="I16" s="5"/>
      <c r="J16" s="5"/>
      <c r="K16" s="5"/>
      <c r="L16" s="6"/>
      <c r="N16" s="4"/>
      <c r="O16" s="5"/>
      <c r="P16" s="5"/>
      <c r="Q16" s="5"/>
      <c r="R16" s="6"/>
      <c r="BF16" s="25" t="str">
        <f t="shared" si="8"/>
        <v>ONIC PH</v>
      </c>
      <c r="BG16">
        <f t="shared" si="9"/>
        <v>2</v>
      </c>
      <c r="BH16">
        <f t="shared" si="7"/>
        <v>1</v>
      </c>
      <c r="BI16">
        <f t="shared" si="7"/>
        <v>2</v>
      </c>
      <c r="BJ16">
        <f t="shared" si="7"/>
        <v>0</v>
      </c>
      <c r="BK16">
        <f t="shared" si="7"/>
        <v>0</v>
      </c>
      <c r="BL16">
        <f t="shared" si="7"/>
        <v>0</v>
      </c>
      <c r="BM16">
        <f t="shared" si="7"/>
        <v>1</v>
      </c>
      <c r="BN16">
        <f t="shared" si="7"/>
        <v>1</v>
      </c>
    </row>
    <row r="17" spans="2:66" ht="15.75" x14ac:dyDescent="0.25">
      <c r="B17" s="22" t="s">
        <v>2</v>
      </c>
      <c r="C17" s="23" t="s">
        <v>51</v>
      </c>
      <c r="D17" s="23">
        <v>2</v>
      </c>
      <c r="E17" s="23">
        <v>1</v>
      </c>
      <c r="F17" s="24" t="s">
        <v>57</v>
      </c>
      <c r="H17" s="22" t="s">
        <v>2</v>
      </c>
      <c r="I17" s="23" t="s">
        <v>51</v>
      </c>
      <c r="J17" s="23">
        <v>1</v>
      </c>
      <c r="K17" s="23">
        <v>2</v>
      </c>
      <c r="L17" s="24" t="s">
        <v>55</v>
      </c>
      <c r="N17" s="22" t="s">
        <v>2</v>
      </c>
      <c r="O17" s="23" t="s">
        <v>52</v>
      </c>
      <c r="P17" s="23">
        <v>2</v>
      </c>
      <c r="Q17" s="23">
        <v>1</v>
      </c>
      <c r="R17" s="24" t="s">
        <v>51</v>
      </c>
      <c r="BF17" s="25" t="str">
        <f t="shared" si="8"/>
        <v>T. FLCP</v>
      </c>
      <c r="BG17">
        <f t="shared" si="9"/>
        <v>1</v>
      </c>
      <c r="BH17">
        <f t="shared" si="7"/>
        <v>1</v>
      </c>
      <c r="BI17">
        <f t="shared" si="7"/>
        <v>0</v>
      </c>
      <c r="BJ17">
        <f t="shared" si="7"/>
        <v>1</v>
      </c>
      <c r="BK17">
        <f t="shared" si="7"/>
        <v>0</v>
      </c>
      <c r="BL17">
        <f t="shared" si="7"/>
        <v>1</v>
      </c>
      <c r="BM17">
        <f t="shared" si="7"/>
        <v>1</v>
      </c>
      <c r="BN17">
        <f t="shared" si="7"/>
        <v>2</v>
      </c>
    </row>
    <row r="18" spans="2:66" ht="15.75" x14ac:dyDescent="0.25">
      <c r="B18" s="2"/>
      <c r="C18" s="1" t="s">
        <v>52</v>
      </c>
      <c r="D18" s="1">
        <v>0</v>
      </c>
      <c r="E18" s="1">
        <v>2</v>
      </c>
      <c r="F18" s="3" t="s">
        <v>54</v>
      </c>
      <c r="H18" s="2"/>
      <c r="I18" s="1" t="s">
        <v>52</v>
      </c>
      <c r="J18" s="1">
        <v>2</v>
      </c>
      <c r="K18" s="1">
        <v>1</v>
      </c>
      <c r="L18" s="3" t="s">
        <v>56</v>
      </c>
      <c r="N18" s="2"/>
      <c r="O18" s="1" t="s">
        <v>55</v>
      </c>
      <c r="P18" s="1">
        <v>0</v>
      </c>
      <c r="Q18" s="1">
        <v>2</v>
      </c>
      <c r="R18" s="3" t="s">
        <v>54</v>
      </c>
      <c r="BF18" s="25" t="str">
        <f t="shared" si="8"/>
        <v>TLPH</v>
      </c>
      <c r="BG18">
        <f t="shared" si="9"/>
        <v>1</v>
      </c>
      <c r="BH18">
        <f t="shared" si="7"/>
        <v>1</v>
      </c>
      <c r="BI18">
        <f t="shared" si="7"/>
        <v>2</v>
      </c>
      <c r="BJ18">
        <f t="shared" si="7"/>
        <v>1</v>
      </c>
      <c r="BK18">
        <f t="shared" si="7"/>
        <v>0</v>
      </c>
      <c r="BL18">
        <f t="shared" si="7"/>
        <v>0</v>
      </c>
      <c r="BM18">
        <f t="shared" si="7"/>
        <v>2</v>
      </c>
      <c r="BN18">
        <f t="shared" si="7"/>
        <v>1</v>
      </c>
    </row>
    <row r="19" spans="2:66" ht="16.5" thickBot="1" x14ac:dyDescent="0.3">
      <c r="B19" s="4"/>
      <c r="C19" s="5" t="s">
        <v>56</v>
      </c>
      <c r="D19" s="5">
        <v>2</v>
      </c>
      <c r="E19" s="5">
        <v>0</v>
      </c>
      <c r="F19" s="6" t="s">
        <v>55</v>
      </c>
      <c r="H19" s="4"/>
      <c r="I19" s="5" t="s">
        <v>54</v>
      </c>
      <c r="J19" s="5">
        <v>2</v>
      </c>
      <c r="K19" s="5">
        <v>0</v>
      </c>
      <c r="L19" s="6" t="s">
        <v>58</v>
      </c>
      <c r="N19" s="4"/>
      <c r="O19" s="5" t="s">
        <v>53</v>
      </c>
      <c r="P19" s="5">
        <v>1</v>
      </c>
      <c r="Q19" s="5">
        <v>2</v>
      </c>
      <c r="R19" s="6" t="s">
        <v>56</v>
      </c>
      <c r="BF19" s="25" t="str">
        <f t="shared" si="8"/>
        <v>TNC</v>
      </c>
      <c r="BG19">
        <f t="shared" si="9"/>
        <v>1</v>
      </c>
      <c r="BH19">
        <f t="shared" si="7"/>
        <v>1</v>
      </c>
      <c r="BI19">
        <f t="shared" si="7"/>
        <v>0</v>
      </c>
      <c r="BJ19">
        <f t="shared" si="7"/>
        <v>0</v>
      </c>
      <c r="BK19">
        <f t="shared" si="7"/>
        <v>0</v>
      </c>
      <c r="BL19">
        <f t="shared" si="7"/>
        <v>0</v>
      </c>
      <c r="BM19">
        <f t="shared" si="7"/>
        <v>0</v>
      </c>
      <c r="BN19">
        <f t="shared" si="7"/>
        <v>1</v>
      </c>
    </row>
    <row r="20" spans="2:66" ht="15.75" x14ac:dyDescent="0.25">
      <c r="B20" s="22" t="s">
        <v>3</v>
      </c>
      <c r="C20" s="23" t="s">
        <v>53</v>
      </c>
      <c r="D20" s="23">
        <v>2</v>
      </c>
      <c r="E20" s="23">
        <v>0</v>
      </c>
      <c r="F20" s="24" t="s">
        <v>51</v>
      </c>
      <c r="H20" s="22" t="s">
        <v>3</v>
      </c>
      <c r="I20" s="23" t="s">
        <v>57</v>
      </c>
      <c r="J20" s="23">
        <v>0</v>
      </c>
      <c r="K20" s="23">
        <v>2</v>
      </c>
      <c r="L20" s="24" t="s">
        <v>56</v>
      </c>
      <c r="N20" s="22" t="s">
        <v>3</v>
      </c>
      <c r="O20" s="23" t="s">
        <v>54</v>
      </c>
      <c r="P20" s="23">
        <v>2</v>
      </c>
      <c r="Q20" s="23">
        <v>0</v>
      </c>
      <c r="R20" s="24" t="s">
        <v>57</v>
      </c>
      <c r="BF20" s="25" t="str">
        <f t="shared" si="8"/>
        <v>TWIS PH</v>
      </c>
      <c r="BG20">
        <f t="shared" si="9"/>
        <v>0</v>
      </c>
      <c r="BH20">
        <f t="shared" si="7"/>
        <v>0</v>
      </c>
      <c r="BI20">
        <f t="shared" si="7"/>
        <v>0</v>
      </c>
      <c r="BJ20">
        <f t="shared" si="7"/>
        <v>0</v>
      </c>
      <c r="BK20">
        <f t="shared" si="7"/>
        <v>0</v>
      </c>
      <c r="BL20">
        <f t="shared" si="7"/>
        <v>0</v>
      </c>
      <c r="BM20">
        <f t="shared" si="7"/>
        <v>0</v>
      </c>
      <c r="BN20">
        <f t="shared" si="7"/>
        <v>0</v>
      </c>
    </row>
    <row r="21" spans="2:66" ht="15.75" x14ac:dyDescent="0.25">
      <c r="B21" s="2"/>
      <c r="C21" s="1" t="s">
        <v>55</v>
      </c>
      <c r="D21" s="1">
        <v>2</v>
      </c>
      <c r="E21" s="1">
        <v>1</v>
      </c>
      <c r="F21" s="3" t="s">
        <v>58</v>
      </c>
      <c r="H21" s="2"/>
      <c r="I21" s="1" t="s">
        <v>53</v>
      </c>
      <c r="J21" s="1">
        <v>2</v>
      </c>
      <c r="K21" s="1">
        <v>1</v>
      </c>
      <c r="L21" s="3" t="s">
        <v>52</v>
      </c>
      <c r="N21" s="2"/>
      <c r="O21" s="1" t="s">
        <v>58</v>
      </c>
      <c r="P21" s="1">
        <v>2</v>
      </c>
      <c r="Q21" s="1">
        <v>0</v>
      </c>
      <c r="R21" s="3" t="s">
        <v>52</v>
      </c>
      <c r="BF21" s="25"/>
    </row>
    <row r="22" spans="2:66" ht="15.75" thickBot="1" x14ac:dyDescent="0.3">
      <c r="B22" s="4"/>
      <c r="C22" s="5"/>
      <c r="D22" s="5"/>
      <c r="E22" s="5"/>
      <c r="F22" s="6"/>
      <c r="H22" s="4"/>
      <c r="I22" s="5"/>
      <c r="J22" s="5"/>
      <c r="K22" s="5"/>
      <c r="L22" s="6"/>
      <c r="N22" s="4"/>
      <c r="O22" s="5"/>
      <c r="P22" s="5"/>
      <c r="Q22" s="5"/>
      <c r="R22" s="6"/>
    </row>
    <row r="24" spans="2:66" ht="15.75" thickBot="1" x14ac:dyDescent="0.3">
      <c r="B24" s="65" t="s">
        <v>6</v>
      </c>
      <c r="C24" s="66"/>
      <c r="D24" s="66"/>
      <c r="E24" s="66"/>
      <c r="F24" s="67"/>
      <c r="H24" s="65" t="s">
        <v>7</v>
      </c>
      <c r="I24" s="66"/>
      <c r="J24" s="66"/>
      <c r="K24" s="66"/>
      <c r="L24" s="67"/>
      <c r="N24" s="65" t="s">
        <v>8</v>
      </c>
      <c r="O24" s="66"/>
      <c r="P24" s="66"/>
      <c r="Q24" s="66"/>
      <c r="R24" s="67"/>
      <c r="BG24" t="str">
        <f>BF25</f>
        <v>AP.BREN</v>
      </c>
      <c r="BH24" t="str">
        <f>BF26</f>
        <v>AUR PH</v>
      </c>
      <c r="BI24" t="str">
        <f>BF27</f>
        <v>OMEGA</v>
      </c>
      <c r="BJ24" t="str">
        <f>BF28</f>
        <v>ONIC PH</v>
      </c>
      <c r="BK24" t="str">
        <f>BF29</f>
        <v>T. FLCP</v>
      </c>
      <c r="BL24" t="str">
        <f>BF30</f>
        <v>TLPH</v>
      </c>
      <c r="BM24" t="str">
        <f>BF31</f>
        <v>TNC</v>
      </c>
      <c r="BN24" t="str">
        <f>BF32</f>
        <v>TWIS PH</v>
      </c>
    </row>
    <row r="25" spans="2:66" ht="15.75" x14ac:dyDescent="0.25">
      <c r="B25" s="22" t="s">
        <v>1</v>
      </c>
      <c r="C25" s="23" t="s">
        <v>52</v>
      </c>
      <c r="D25" s="23">
        <v>2</v>
      </c>
      <c r="E25" s="23">
        <v>1</v>
      </c>
      <c r="F25" s="24" t="s">
        <v>57</v>
      </c>
      <c r="H25" s="22" t="s">
        <v>1</v>
      </c>
      <c r="I25" s="23" t="s">
        <v>54</v>
      </c>
      <c r="J25" s="23">
        <v>2</v>
      </c>
      <c r="K25" s="23">
        <v>1</v>
      </c>
      <c r="L25" s="24" t="s">
        <v>55</v>
      </c>
      <c r="N25" s="22" t="s">
        <v>1</v>
      </c>
      <c r="O25" s="23" t="s">
        <v>57</v>
      </c>
      <c r="P25" s="23">
        <v>0</v>
      </c>
      <c r="Q25" s="23">
        <v>2</v>
      </c>
      <c r="R25" s="24" t="s">
        <v>51</v>
      </c>
      <c r="BF25" s="25" t="str">
        <f>BF13</f>
        <v>AP.BREN</v>
      </c>
      <c r="BG25">
        <f>SUMPRODUCT(($C$14:$C$22=$BF25)*($F$14:$F$22=BG$24)*$D$14:$D$22)+SUMPRODUCT(($F$14:$F$22=$BF25)*($C$14:$C$22=BG$24)*$E$14:$E$22)+SUMPRODUCT(($I$14:$I$22=$BF25)*($L$14:$L$22=BG$24)*$J$14:$J$22)+SUMPRODUCT(($L$14:$L$22=$BF25)*($I$14:$I$22=BG$24)*$K$14:$K$22)+SUMPRODUCT(($O$14:$O$22=$BF25)*($R$14:$R$22=BG$24)*$P$14:$P$22)+SUMPRODUCT(($R$14:$R$22=$BF25)*($O$14:$O$22=BG$24)*$Q$14:$Q$22)+SUMPRODUCT(($C$25:$C$33=$BF25)*($F$25:$F$33=BG$24)*$D$25:$D$33)+SUMPRODUCT(($F$25:$F$33=$BF25)*($C$25:$C$33=BG$24)*$E$25:$E$33)+SUMPRODUCT(($I$25:$I$33=$BF25)*($L$25:$L$33=BG$24)*$J$25:$J$33)+SUMPRODUCT(($L$25:$L$33=$BF25)*($I$25:$I$33=BG$24)*$K$25:$K$33)+SUMPRODUCT(($O$25:$O$33=$BF25)*($R$25:$R$33=BG$24)*$P$25:$P$33)+SUMPRODUCT(($R$25:$R$33=$BF25)*($O$25:$O$33=BG$24)*$Q$25:$Q$33)+SUMPRODUCT(($C$36:$C$44=$BF25)*($F$36:$F$44=BG$24)*$D$36:$D$44)+SUMPRODUCT(($F$36:$F$44=$BF25)*($C$36:$C$44=BG$24)*$E$36:$E$44)+SUMPRODUCT(($I$36:$I$44=$BF25)*($L$36:$L$44=BG$24)*$J$36:$J$44)+SUMPRODUCT(($L$36:$L$44=$BF25)*($I$36:$I$44=BG$24)*$K$36:$K$44)+SUMPRODUCT(($O$36:$O$44=$BF25)*($R$36:$R$44=BG$24)*$P$36:$P$44)+SUMPRODUCT(($R$36:$R$44=$BF25)*($O$36:$O$44=BG$24)*$Q$36:$Q$44)</f>
        <v>0</v>
      </c>
      <c r="BH25">
        <f t="shared" ref="BH25:BN32" si="10">SUMPRODUCT(($C$14:$C$22=$BF25)*($F$14:$F$22=BH$24)*$D$14:$D$22)+SUMPRODUCT(($F$14:$F$22=$BF25)*($C$14:$C$22=BH$24)*$E$14:$E$22)+SUMPRODUCT(($I$14:$I$22=$BF25)*($L$14:$L$22=BH$24)*$J$14:$J$22)+SUMPRODUCT(($L$14:$L$22=$BF25)*($I$14:$I$22=BH$24)*$K$14:$K$22)+SUMPRODUCT(($O$14:$O$22=$BF25)*($R$14:$R$22=BH$24)*$P$14:$P$22)+SUMPRODUCT(($R$14:$R$22=$BF25)*($O$14:$O$22=BH$24)*$Q$14:$Q$22)+SUMPRODUCT(($C$25:$C$33=$BF25)*($F$25:$F$33=BH$24)*$D$25:$D$33)+SUMPRODUCT(($F$25:$F$33=$BF25)*($C$25:$C$33=BH$24)*$E$25:$E$33)+SUMPRODUCT(($I$25:$I$33=$BF25)*($L$25:$L$33=BH$24)*$J$25:$J$33)+SUMPRODUCT(($L$25:$L$33=$BF25)*($I$25:$I$33=BH$24)*$K$25:$K$33)+SUMPRODUCT(($O$25:$O$33=$BF25)*($R$25:$R$33=BH$24)*$P$25:$P$33)+SUMPRODUCT(($R$25:$R$33=$BF25)*($O$25:$O$33=BH$24)*$Q$25:$Q$33)+SUMPRODUCT(($C$36:$C$44=$BF25)*($F$36:$F$44=BH$24)*$D$36:$D$44)+SUMPRODUCT(($F$36:$F$44=$BF25)*($C$36:$C$44=BH$24)*$E$36:$E$44)+SUMPRODUCT(($I$36:$I$44=$BF25)*($L$36:$L$44=BH$24)*$J$36:$J$44)+SUMPRODUCT(($L$36:$L$44=$BF25)*($I$36:$I$44=BH$24)*$K$36:$K$44)+SUMPRODUCT(($O$36:$O$44=$BF25)*($R$36:$R$44=BH$24)*$P$36:$P$44)+SUMPRODUCT(($R$36:$R$44=$BF25)*($O$36:$O$44=BH$24)*$Q$36:$Q$44)</f>
        <v>0</v>
      </c>
      <c r="BI25">
        <f t="shared" si="10"/>
        <v>1</v>
      </c>
      <c r="BJ25">
        <f t="shared" si="10"/>
        <v>1</v>
      </c>
      <c r="BK25">
        <f t="shared" si="10"/>
        <v>0</v>
      </c>
      <c r="BL25">
        <f t="shared" si="10"/>
        <v>0</v>
      </c>
      <c r="BM25">
        <f t="shared" si="10"/>
        <v>3</v>
      </c>
      <c r="BN25">
        <f t="shared" si="10"/>
        <v>4</v>
      </c>
    </row>
    <row r="26" spans="2:66" ht="15.75" x14ac:dyDescent="0.25">
      <c r="B26" s="2"/>
      <c r="C26" s="1" t="s">
        <v>58</v>
      </c>
      <c r="D26" s="1">
        <v>2</v>
      </c>
      <c r="E26" s="1">
        <v>0</v>
      </c>
      <c r="F26" s="3" t="s">
        <v>51</v>
      </c>
      <c r="H26" s="2"/>
      <c r="I26" s="1" t="s">
        <v>52</v>
      </c>
      <c r="J26" s="1">
        <v>0</v>
      </c>
      <c r="K26" s="1">
        <v>2</v>
      </c>
      <c r="L26" s="3" t="s">
        <v>58</v>
      </c>
      <c r="N26" s="2"/>
      <c r="O26" s="1" t="s">
        <v>52</v>
      </c>
      <c r="P26" s="1">
        <v>0</v>
      </c>
      <c r="Q26" s="1">
        <v>2</v>
      </c>
      <c r="R26" s="3" t="s">
        <v>53</v>
      </c>
      <c r="BF26" s="25" t="str">
        <f t="shared" ref="BF26:BF32" si="11">BF14</f>
        <v>AUR PH</v>
      </c>
      <c r="BG26">
        <f t="shared" ref="BG26:BG32" si="12">SUMPRODUCT(($C$14:$C$22=$BF26)*($F$14:$F$22=BG$24)*$D$14:$D$22)+SUMPRODUCT(($F$14:$F$22=$BF26)*($C$14:$C$22=BG$24)*$E$14:$E$22)+SUMPRODUCT(($I$14:$I$22=$BF26)*($L$14:$L$22=BG$24)*$J$14:$J$22)+SUMPRODUCT(($L$14:$L$22=$BF26)*($I$14:$I$22=BG$24)*$K$14:$K$22)+SUMPRODUCT(($O$14:$O$22=$BF26)*($R$14:$R$22=BG$24)*$P$14:$P$22)+SUMPRODUCT(($R$14:$R$22=$BF26)*($O$14:$O$22=BG$24)*$Q$14:$Q$22)+SUMPRODUCT(($C$25:$C$33=$BF26)*($F$25:$F$33=BG$24)*$D$25:$D$33)+SUMPRODUCT(($F$25:$F$33=$BF26)*($C$25:$C$33=BG$24)*$E$25:$E$33)+SUMPRODUCT(($I$25:$I$33=$BF26)*($L$25:$L$33=BG$24)*$J$25:$J$33)+SUMPRODUCT(($L$25:$L$33=$BF26)*($I$25:$I$33=BG$24)*$K$25:$K$33)+SUMPRODUCT(($O$25:$O$33=$BF26)*($R$25:$R$33=BG$24)*$P$25:$P$33)+SUMPRODUCT(($R$25:$R$33=$BF26)*($O$25:$O$33=BG$24)*$Q$25:$Q$33)+SUMPRODUCT(($C$36:$C$44=$BF26)*($F$36:$F$44=BG$24)*$D$36:$D$44)+SUMPRODUCT(($F$36:$F$44=$BF26)*($C$36:$C$44=BG$24)*$E$36:$E$44)+SUMPRODUCT(($I$36:$I$44=$BF26)*($L$36:$L$44=BG$24)*$J$36:$J$44)+SUMPRODUCT(($L$36:$L$44=$BF26)*($I$36:$I$44=BG$24)*$K$36:$K$44)+SUMPRODUCT(($O$36:$O$44=$BF26)*($R$36:$R$44=BG$24)*$P$36:$P$44)+SUMPRODUCT(($R$36:$R$44=$BF26)*($O$36:$O$44=BG$24)*$Q$36:$Q$44)</f>
        <v>2</v>
      </c>
      <c r="BH26">
        <f t="shared" si="10"/>
        <v>0</v>
      </c>
      <c r="BI26">
        <f t="shared" si="10"/>
        <v>4</v>
      </c>
      <c r="BJ26">
        <f t="shared" si="10"/>
        <v>0</v>
      </c>
      <c r="BK26">
        <f t="shared" si="10"/>
        <v>1</v>
      </c>
      <c r="BL26">
        <f t="shared" si="10"/>
        <v>2</v>
      </c>
      <c r="BM26">
        <f t="shared" si="10"/>
        <v>1</v>
      </c>
      <c r="BN26">
        <f t="shared" si="10"/>
        <v>2</v>
      </c>
    </row>
    <row r="27" spans="2:66" ht="16.5" thickBot="1" x14ac:dyDescent="0.3">
      <c r="B27" s="4"/>
      <c r="C27" s="5"/>
      <c r="D27" s="5"/>
      <c r="E27" s="5"/>
      <c r="F27" s="6"/>
      <c r="H27" s="4"/>
      <c r="I27" s="5"/>
      <c r="J27" s="5"/>
      <c r="K27" s="5"/>
      <c r="L27" s="6"/>
      <c r="N27" s="4"/>
      <c r="O27" s="5"/>
      <c r="P27" s="5"/>
      <c r="Q27" s="5"/>
      <c r="R27" s="6"/>
      <c r="BF27" s="25" t="str">
        <f t="shared" si="11"/>
        <v>OMEGA</v>
      </c>
      <c r="BG27">
        <f t="shared" si="12"/>
        <v>2</v>
      </c>
      <c r="BH27">
        <f t="shared" si="10"/>
        <v>0</v>
      </c>
      <c r="BI27">
        <f t="shared" si="10"/>
        <v>0</v>
      </c>
      <c r="BJ27">
        <f t="shared" si="10"/>
        <v>1</v>
      </c>
      <c r="BK27">
        <f t="shared" si="10"/>
        <v>2</v>
      </c>
      <c r="BL27">
        <f t="shared" si="10"/>
        <v>0</v>
      </c>
      <c r="BM27">
        <f t="shared" si="10"/>
        <v>2</v>
      </c>
      <c r="BN27">
        <f t="shared" si="10"/>
        <v>2</v>
      </c>
    </row>
    <row r="28" spans="2:66" ht="15.75" x14ac:dyDescent="0.25">
      <c r="B28" s="22" t="s">
        <v>2</v>
      </c>
      <c r="C28" s="23" t="s">
        <v>57</v>
      </c>
      <c r="D28" s="23">
        <v>0</v>
      </c>
      <c r="E28" s="23">
        <v>2</v>
      </c>
      <c r="F28" s="24" t="s">
        <v>55</v>
      </c>
      <c r="H28" s="22" t="s">
        <v>2</v>
      </c>
      <c r="I28" s="23" t="s">
        <v>55</v>
      </c>
      <c r="J28" s="23">
        <v>0</v>
      </c>
      <c r="K28" s="23">
        <v>2</v>
      </c>
      <c r="L28" s="24" t="s">
        <v>51</v>
      </c>
      <c r="N28" s="22" t="s">
        <v>2</v>
      </c>
      <c r="O28" s="23" t="s">
        <v>55</v>
      </c>
      <c r="P28" s="23"/>
      <c r="Q28" s="23"/>
      <c r="R28" s="24" t="s">
        <v>57</v>
      </c>
      <c r="BF28" s="25" t="str">
        <f t="shared" si="11"/>
        <v>ONIC PH</v>
      </c>
      <c r="BG28">
        <f t="shared" si="12"/>
        <v>4</v>
      </c>
      <c r="BH28">
        <f t="shared" si="10"/>
        <v>2</v>
      </c>
      <c r="BI28">
        <f t="shared" si="10"/>
        <v>4</v>
      </c>
      <c r="BJ28">
        <f t="shared" si="10"/>
        <v>0</v>
      </c>
      <c r="BK28">
        <f t="shared" si="10"/>
        <v>1</v>
      </c>
      <c r="BL28">
        <f t="shared" si="10"/>
        <v>0</v>
      </c>
      <c r="BM28">
        <f t="shared" si="10"/>
        <v>2</v>
      </c>
      <c r="BN28">
        <f t="shared" si="10"/>
        <v>2</v>
      </c>
    </row>
    <row r="29" spans="2:66" ht="15.75" x14ac:dyDescent="0.25">
      <c r="B29" s="2"/>
      <c r="C29" s="1" t="s">
        <v>56</v>
      </c>
      <c r="D29" s="1">
        <v>2</v>
      </c>
      <c r="E29" s="1">
        <v>0</v>
      </c>
      <c r="F29" s="3" t="s">
        <v>51</v>
      </c>
      <c r="H29" s="2"/>
      <c r="I29" s="1" t="s">
        <v>56</v>
      </c>
      <c r="J29" s="1">
        <v>2</v>
      </c>
      <c r="K29" s="1">
        <v>0</v>
      </c>
      <c r="L29" s="3" t="s">
        <v>57</v>
      </c>
      <c r="N29" s="2"/>
      <c r="O29" s="1" t="s">
        <v>51</v>
      </c>
      <c r="P29" s="1"/>
      <c r="Q29" s="1"/>
      <c r="R29" s="3" t="s">
        <v>58</v>
      </c>
      <c r="BF29" s="25" t="str">
        <f t="shared" si="11"/>
        <v>T. FLCP</v>
      </c>
      <c r="BG29">
        <f t="shared" si="12"/>
        <v>2</v>
      </c>
      <c r="BH29">
        <f t="shared" si="10"/>
        <v>2</v>
      </c>
      <c r="BI29">
        <f t="shared" si="10"/>
        <v>1</v>
      </c>
      <c r="BJ29">
        <f t="shared" si="10"/>
        <v>2</v>
      </c>
      <c r="BK29">
        <f t="shared" si="10"/>
        <v>0</v>
      </c>
      <c r="BL29">
        <f t="shared" si="10"/>
        <v>2</v>
      </c>
      <c r="BM29">
        <f t="shared" si="10"/>
        <v>2</v>
      </c>
      <c r="BN29">
        <f t="shared" si="10"/>
        <v>4</v>
      </c>
    </row>
    <row r="30" spans="2:66" ht="16.5" thickBot="1" x14ac:dyDescent="0.3">
      <c r="B30" s="4"/>
      <c r="C30" s="5" t="s">
        <v>53</v>
      </c>
      <c r="D30" s="5">
        <v>0</v>
      </c>
      <c r="E30" s="5">
        <v>2</v>
      </c>
      <c r="F30" s="6" t="s">
        <v>54</v>
      </c>
      <c r="H30" s="4"/>
      <c r="I30" s="5" t="s">
        <v>58</v>
      </c>
      <c r="J30" s="5">
        <v>2</v>
      </c>
      <c r="K30" s="5">
        <v>0</v>
      </c>
      <c r="L30" s="6" t="s">
        <v>54</v>
      </c>
      <c r="N30" s="4"/>
      <c r="O30" s="5" t="s">
        <v>56</v>
      </c>
      <c r="P30" s="5"/>
      <c r="Q30" s="5"/>
      <c r="R30" s="6" t="s">
        <v>53</v>
      </c>
      <c r="BF30" s="25" t="str">
        <f t="shared" si="11"/>
        <v>TLPH</v>
      </c>
      <c r="BG30">
        <f t="shared" si="12"/>
        <v>2</v>
      </c>
      <c r="BH30">
        <f t="shared" si="10"/>
        <v>2</v>
      </c>
      <c r="BI30">
        <f t="shared" si="10"/>
        <v>4</v>
      </c>
      <c r="BJ30">
        <f t="shared" si="10"/>
        <v>2</v>
      </c>
      <c r="BK30">
        <f t="shared" si="10"/>
        <v>1</v>
      </c>
      <c r="BL30">
        <f t="shared" si="10"/>
        <v>0</v>
      </c>
      <c r="BM30">
        <f t="shared" si="10"/>
        <v>4</v>
      </c>
      <c r="BN30">
        <f t="shared" si="10"/>
        <v>2</v>
      </c>
    </row>
    <row r="31" spans="2:66" ht="15.75" x14ac:dyDescent="0.25">
      <c r="B31" s="22" t="s">
        <v>3</v>
      </c>
      <c r="C31" s="23" t="s">
        <v>55</v>
      </c>
      <c r="D31" s="23">
        <v>1</v>
      </c>
      <c r="E31" s="23">
        <v>2</v>
      </c>
      <c r="F31" s="24" t="s">
        <v>52</v>
      </c>
      <c r="H31" s="22" t="s">
        <v>3</v>
      </c>
      <c r="I31" s="23" t="s">
        <v>51</v>
      </c>
      <c r="J31" s="23">
        <v>1</v>
      </c>
      <c r="K31" s="23">
        <v>2</v>
      </c>
      <c r="L31" s="24" t="s">
        <v>53</v>
      </c>
      <c r="N31" s="22" t="s">
        <v>3</v>
      </c>
      <c r="O31" s="23" t="s">
        <v>52</v>
      </c>
      <c r="P31" s="23"/>
      <c r="Q31" s="23"/>
      <c r="R31" s="24" t="s">
        <v>55</v>
      </c>
      <c r="BF31" s="25" t="str">
        <f t="shared" si="11"/>
        <v>TNC</v>
      </c>
      <c r="BG31">
        <f t="shared" si="12"/>
        <v>2</v>
      </c>
      <c r="BH31">
        <f t="shared" si="10"/>
        <v>2</v>
      </c>
      <c r="BI31">
        <f t="shared" si="10"/>
        <v>1</v>
      </c>
      <c r="BJ31">
        <f t="shared" si="10"/>
        <v>1</v>
      </c>
      <c r="BK31">
        <f t="shared" si="10"/>
        <v>0</v>
      </c>
      <c r="BL31">
        <f t="shared" si="10"/>
        <v>1</v>
      </c>
      <c r="BM31">
        <f t="shared" si="10"/>
        <v>0</v>
      </c>
      <c r="BN31">
        <f t="shared" si="10"/>
        <v>2</v>
      </c>
    </row>
    <row r="32" spans="2:66" ht="15.75" x14ac:dyDescent="0.25">
      <c r="B32" s="2"/>
      <c r="C32" s="1" t="s">
        <v>56</v>
      </c>
      <c r="D32" s="1">
        <v>2</v>
      </c>
      <c r="E32" s="1">
        <v>1</v>
      </c>
      <c r="F32" s="3" t="s">
        <v>58</v>
      </c>
      <c r="H32" s="2"/>
      <c r="I32" s="1" t="s">
        <v>54</v>
      </c>
      <c r="J32" s="1">
        <v>2</v>
      </c>
      <c r="K32" s="1">
        <v>0</v>
      </c>
      <c r="L32" s="3" t="s">
        <v>52</v>
      </c>
      <c r="N32" s="2"/>
      <c r="O32" s="1" t="s">
        <v>58</v>
      </c>
      <c r="P32" s="1"/>
      <c r="Q32" s="1"/>
      <c r="R32" s="3" t="s">
        <v>56</v>
      </c>
      <c r="BF32" s="25" t="str">
        <f t="shared" si="11"/>
        <v>TWIS PH</v>
      </c>
      <c r="BG32">
        <f t="shared" si="12"/>
        <v>1</v>
      </c>
      <c r="BH32">
        <f t="shared" si="10"/>
        <v>0</v>
      </c>
      <c r="BI32">
        <f t="shared" si="10"/>
        <v>1</v>
      </c>
      <c r="BJ32">
        <f t="shared" si="10"/>
        <v>0</v>
      </c>
      <c r="BK32">
        <f t="shared" si="10"/>
        <v>0</v>
      </c>
      <c r="BL32">
        <f t="shared" si="10"/>
        <v>0</v>
      </c>
      <c r="BM32">
        <f t="shared" si="10"/>
        <v>0</v>
      </c>
      <c r="BN32">
        <f t="shared" si="10"/>
        <v>0</v>
      </c>
    </row>
    <row r="33" spans="2:18" ht="15.75" thickBot="1" x14ac:dyDescent="0.3">
      <c r="B33" s="4"/>
      <c r="C33" s="5"/>
      <c r="D33" s="5"/>
      <c r="E33" s="5"/>
      <c r="F33" s="6"/>
      <c r="H33" s="4"/>
      <c r="I33" s="5"/>
      <c r="J33" s="5"/>
      <c r="K33" s="5"/>
      <c r="L33" s="6"/>
      <c r="N33" s="4"/>
      <c r="O33" s="5"/>
      <c r="P33" s="5"/>
      <c r="Q33" s="5"/>
      <c r="R33" s="6"/>
    </row>
    <row r="35" spans="2:18" ht="15.75" thickBot="1" x14ac:dyDescent="0.3">
      <c r="B35" s="65" t="s">
        <v>9</v>
      </c>
      <c r="C35" s="66"/>
      <c r="D35" s="66"/>
      <c r="E35" s="66"/>
      <c r="F35" s="67"/>
      <c r="H35" s="65" t="s">
        <v>10</v>
      </c>
      <c r="I35" s="66"/>
      <c r="J35" s="66"/>
      <c r="K35" s="66"/>
      <c r="L35" s="67"/>
      <c r="N35" s="65" t="s">
        <v>11</v>
      </c>
      <c r="O35" s="66"/>
      <c r="P35" s="66"/>
      <c r="Q35" s="66"/>
      <c r="R35" s="67"/>
    </row>
    <row r="36" spans="2:18" x14ac:dyDescent="0.25">
      <c r="B36" s="22" t="s">
        <v>1</v>
      </c>
      <c r="C36" s="23" t="s">
        <v>53</v>
      </c>
      <c r="D36" s="23"/>
      <c r="E36" s="23"/>
      <c r="F36" s="24" t="s">
        <v>57</v>
      </c>
      <c r="H36" s="22" t="s">
        <v>1</v>
      </c>
      <c r="I36" s="23" t="s">
        <v>57</v>
      </c>
      <c r="J36" s="23"/>
      <c r="K36" s="23"/>
      <c r="L36" s="24" t="s">
        <v>54</v>
      </c>
      <c r="N36" s="22" t="s">
        <v>1</v>
      </c>
      <c r="O36" s="23"/>
      <c r="P36" s="23"/>
      <c r="Q36" s="23"/>
      <c r="R36" s="24"/>
    </row>
    <row r="37" spans="2:18" x14ac:dyDescent="0.25">
      <c r="B37" s="2"/>
      <c r="C37" s="1" t="s">
        <v>58</v>
      </c>
      <c r="D37" s="1"/>
      <c r="E37" s="1"/>
      <c r="F37" s="3" t="s">
        <v>55</v>
      </c>
      <c r="H37" s="2"/>
      <c r="I37" s="1" t="s">
        <v>53</v>
      </c>
      <c r="J37" s="1"/>
      <c r="K37" s="1"/>
      <c r="L37" s="3" t="s">
        <v>55</v>
      </c>
      <c r="N37" s="2"/>
      <c r="O37" s="1"/>
      <c r="P37" s="1"/>
      <c r="Q37" s="1"/>
      <c r="R37" s="3"/>
    </row>
    <row r="38" spans="2:18" ht="15.75" thickBot="1" x14ac:dyDescent="0.3">
      <c r="B38" s="4"/>
      <c r="C38" s="5"/>
      <c r="D38" s="5"/>
      <c r="E38" s="5"/>
      <c r="F38" s="6"/>
      <c r="H38" s="4"/>
      <c r="I38" s="5"/>
      <c r="J38" s="5"/>
      <c r="K38" s="5"/>
      <c r="L38" s="6"/>
      <c r="N38" s="4"/>
      <c r="O38" s="5"/>
      <c r="P38" s="5"/>
      <c r="Q38" s="5"/>
      <c r="R38" s="6"/>
    </row>
    <row r="39" spans="2:18" x14ac:dyDescent="0.25">
      <c r="B39" s="22" t="s">
        <v>2</v>
      </c>
      <c r="C39" s="23" t="s">
        <v>57</v>
      </c>
      <c r="D39" s="23"/>
      <c r="E39" s="23"/>
      <c r="F39" s="24" t="s">
        <v>52</v>
      </c>
      <c r="H39" s="22" t="s">
        <v>2</v>
      </c>
      <c r="I39" s="23" t="s">
        <v>51</v>
      </c>
      <c r="J39" s="23"/>
      <c r="K39" s="23"/>
      <c r="L39" s="24" t="s">
        <v>52</v>
      </c>
      <c r="N39" s="22" t="s">
        <v>2</v>
      </c>
      <c r="O39" s="23"/>
      <c r="P39" s="23"/>
      <c r="Q39" s="23"/>
      <c r="R39" s="24"/>
    </row>
    <row r="40" spans="2:18" x14ac:dyDescent="0.25">
      <c r="B40" s="2"/>
      <c r="C40" s="1" t="s">
        <v>51</v>
      </c>
      <c r="D40" s="1"/>
      <c r="E40" s="1"/>
      <c r="F40" s="3" t="s">
        <v>56</v>
      </c>
      <c r="H40" s="2"/>
      <c r="I40" s="1" t="s">
        <v>55</v>
      </c>
      <c r="J40" s="1"/>
      <c r="K40" s="1"/>
      <c r="L40" s="3" t="s">
        <v>56</v>
      </c>
      <c r="N40" s="2"/>
      <c r="O40" s="1"/>
      <c r="P40" s="1"/>
      <c r="Q40" s="1"/>
      <c r="R40" s="3"/>
    </row>
    <row r="41" spans="2:18" ht="15.75" thickBot="1" x14ac:dyDescent="0.3">
      <c r="B41" s="4"/>
      <c r="C41" s="5" t="s">
        <v>53</v>
      </c>
      <c r="D41" s="5"/>
      <c r="E41" s="5"/>
      <c r="F41" s="6" t="s">
        <v>58</v>
      </c>
      <c r="H41" s="4"/>
      <c r="I41" s="5" t="s">
        <v>54</v>
      </c>
      <c r="J41" s="5"/>
      <c r="K41" s="5"/>
      <c r="L41" s="6" t="s">
        <v>53</v>
      </c>
      <c r="N41" s="4"/>
      <c r="O41" s="5"/>
      <c r="P41" s="5"/>
      <c r="Q41" s="5"/>
      <c r="R41" s="6"/>
    </row>
    <row r="42" spans="2:18" x14ac:dyDescent="0.25">
      <c r="B42" s="22" t="s">
        <v>3</v>
      </c>
      <c r="C42" s="23" t="s">
        <v>54</v>
      </c>
      <c r="D42" s="23"/>
      <c r="E42" s="23"/>
      <c r="F42" s="24" t="s">
        <v>51</v>
      </c>
      <c r="H42" s="22" t="s">
        <v>3</v>
      </c>
      <c r="I42" s="23" t="s">
        <v>58</v>
      </c>
      <c r="J42" s="23"/>
      <c r="K42" s="23"/>
      <c r="L42" s="24" t="s">
        <v>57</v>
      </c>
      <c r="N42" s="22" t="s">
        <v>3</v>
      </c>
      <c r="O42" s="23"/>
      <c r="P42" s="23"/>
      <c r="Q42" s="23"/>
      <c r="R42" s="24"/>
    </row>
    <row r="43" spans="2:18" x14ac:dyDescent="0.25">
      <c r="B43" s="2"/>
      <c r="C43" s="1" t="s">
        <v>56</v>
      </c>
      <c r="D43" s="1"/>
      <c r="E43" s="1"/>
      <c r="F43" s="3" t="s">
        <v>52</v>
      </c>
      <c r="H43" s="2"/>
      <c r="I43" s="1" t="s">
        <v>56</v>
      </c>
      <c r="J43" s="1"/>
      <c r="K43" s="1"/>
      <c r="L43" s="3" t="s">
        <v>54</v>
      </c>
      <c r="N43" s="2"/>
      <c r="O43" s="1"/>
      <c r="P43" s="1"/>
      <c r="Q43" s="1"/>
      <c r="R43" s="3"/>
    </row>
    <row r="44" spans="2:18" ht="15.75" thickBot="1" x14ac:dyDescent="0.3">
      <c r="B44" s="4"/>
      <c r="C44" s="5"/>
      <c r="D44" s="5"/>
      <c r="E44" s="5"/>
      <c r="F44" s="6"/>
      <c r="H44" s="4"/>
      <c r="I44" s="5"/>
      <c r="J44" s="5"/>
      <c r="K44" s="5"/>
      <c r="L44" s="6"/>
      <c r="N44" s="4"/>
      <c r="O44" s="5"/>
      <c r="P44" s="5"/>
      <c r="Q44" s="5"/>
      <c r="R44" s="6"/>
    </row>
    <row r="45" spans="2:18" ht="15.75" thickBot="1" x14ac:dyDescent="0.3"/>
    <row r="46" spans="2:18" ht="15.75" thickBot="1" x14ac:dyDescent="0.3">
      <c r="B46" s="97" t="s">
        <v>39</v>
      </c>
      <c r="C46" s="98"/>
      <c r="D46" s="98"/>
      <c r="E46" s="98"/>
      <c r="F46" s="99"/>
      <c r="H46" s="85" t="s">
        <v>12</v>
      </c>
      <c r="I46" s="86"/>
      <c r="J46" s="86"/>
      <c r="K46" s="86"/>
      <c r="L46" s="86"/>
      <c r="M46" s="86"/>
      <c r="N46" s="86"/>
      <c r="O46" s="86"/>
      <c r="P46" s="86"/>
      <c r="Q46" s="86"/>
      <c r="R46" s="87"/>
    </row>
    <row r="47" spans="2:18" x14ac:dyDescent="0.25">
      <c r="B47" s="2" t="s">
        <v>40</v>
      </c>
      <c r="C47" s="1"/>
      <c r="D47" s="1"/>
      <c r="E47" s="1"/>
      <c r="F47" s="3"/>
      <c r="H47" s="9"/>
      <c r="R47" s="10"/>
    </row>
    <row r="48" spans="2:18" ht="15.75" thickBot="1" x14ac:dyDescent="0.3">
      <c r="B48" s="2" t="s">
        <v>41</v>
      </c>
      <c r="C48" s="1"/>
      <c r="D48" s="1"/>
      <c r="E48" s="1"/>
      <c r="F48" s="3"/>
      <c r="H48" s="92" t="s">
        <v>13</v>
      </c>
      <c r="I48" s="93"/>
      <c r="J48" s="95" t="s">
        <v>15</v>
      </c>
      <c r="K48" s="95"/>
      <c r="L48" s="95"/>
      <c r="R48" s="10"/>
    </row>
    <row r="49" spans="2:19" ht="16.5" thickTop="1" thickBot="1" x14ac:dyDescent="0.3">
      <c r="B49" s="2" t="s">
        <v>42</v>
      </c>
      <c r="C49" s="1"/>
      <c r="D49" s="1"/>
      <c r="E49" s="1"/>
      <c r="F49" s="3"/>
      <c r="H49" s="17" t="str">
        <f>B5</f>
        <v>ONIC PH</v>
      </c>
      <c r="I49" s="37"/>
      <c r="J49" s="81" t="str">
        <f>B4</f>
        <v>T. FLCP</v>
      </c>
      <c r="K49" s="82"/>
      <c r="L49" s="37"/>
      <c r="M49" s="94" t="s">
        <v>50</v>
      </c>
      <c r="N49" s="94"/>
      <c r="O49" s="94"/>
      <c r="R49" s="10"/>
    </row>
    <row r="50" spans="2:19" ht="16.5" thickTop="1" thickBot="1" x14ac:dyDescent="0.3">
      <c r="B50" s="2" t="s">
        <v>43</v>
      </c>
      <c r="C50" s="1"/>
      <c r="D50" s="1"/>
      <c r="E50" s="1"/>
      <c r="F50" s="3"/>
      <c r="H50" s="18" t="str">
        <f>B8</f>
        <v>TNC</v>
      </c>
      <c r="I50" s="38"/>
      <c r="J50" s="81" t="str">
        <f>IF(I49&gt;I50, H49, H50)</f>
        <v>TNC</v>
      </c>
      <c r="K50" s="82"/>
      <c r="L50" s="38"/>
      <c r="M50" s="79" t="str">
        <f>IF((L49&gt;L50),J49,J50)</f>
        <v>TNC</v>
      </c>
      <c r="N50" s="80"/>
      <c r="O50" s="37"/>
      <c r="P50" s="90" t="s">
        <v>16</v>
      </c>
      <c r="Q50" s="90"/>
      <c r="R50" s="91"/>
    </row>
    <row r="51" spans="2:19" ht="16.5" thickTop="1" thickBot="1" x14ac:dyDescent="0.3">
      <c r="B51" s="2" t="s">
        <v>44</v>
      </c>
      <c r="C51" s="1"/>
      <c r="D51" s="1"/>
      <c r="E51" s="1"/>
      <c r="F51" s="3"/>
      <c r="H51" s="18" t="str">
        <f>B6</f>
        <v>AUR PH</v>
      </c>
      <c r="I51" s="37"/>
      <c r="J51" s="81" t="str">
        <f>B3</f>
        <v>TLPH</v>
      </c>
      <c r="K51" s="82"/>
      <c r="L51" s="37"/>
      <c r="M51" s="79" t="str">
        <f>IF((L51&gt;L52),J51,J52)</f>
        <v>OMEGA</v>
      </c>
      <c r="N51" s="80"/>
      <c r="O51" s="38"/>
      <c r="P51" s="88" t="str">
        <f>IF((O50&gt;O51),M50,M51)</f>
        <v>OMEGA</v>
      </c>
      <c r="Q51" s="89"/>
      <c r="R51" s="44"/>
      <c r="S51" s="9"/>
    </row>
    <row r="52" spans="2:19" ht="16.5" thickTop="1" thickBot="1" x14ac:dyDescent="0.3">
      <c r="B52" s="2" t="s">
        <v>45</v>
      </c>
      <c r="C52" s="1"/>
      <c r="D52" s="1"/>
      <c r="E52" s="1"/>
      <c r="F52" s="3"/>
      <c r="H52" s="18" t="str">
        <f>B7</f>
        <v>OMEGA</v>
      </c>
      <c r="I52" s="38"/>
      <c r="J52" s="81" t="str">
        <f>IF(I51&gt;I52, H51, H52)</f>
        <v>OMEGA</v>
      </c>
      <c r="K52" s="82"/>
      <c r="L52" s="38"/>
      <c r="M52" s="83" t="str">
        <f>IF((O50&lt;O51),M50,M51)</f>
        <v>OMEGA</v>
      </c>
      <c r="N52" s="84"/>
      <c r="O52" s="37"/>
      <c r="P52" s="88" t="str">
        <f>IF((O52&gt;O53),M52,M53)</f>
        <v>OMEGA</v>
      </c>
      <c r="Q52" s="89"/>
      <c r="R52" s="45"/>
      <c r="S52" s="9"/>
    </row>
    <row r="53" spans="2:19" ht="16.5" thickTop="1" thickBot="1" x14ac:dyDescent="0.3">
      <c r="B53" s="2" t="s">
        <v>46</v>
      </c>
      <c r="C53" s="1"/>
      <c r="D53" s="1"/>
      <c r="E53" s="1"/>
      <c r="F53" s="3"/>
      <c r="H53" s="92" t="s">
        <v>14</v>
      </c>
      <c r="I53" s="93"/>
      <c r="J53" s="73" t="str">
        <f>IF((L49&lt;L50),J49,J50)</f>
        <v>TNC</v>
      </c>
      <c r="K53" s="74"/>
      <c r="L53" s="37"/>
      <c r="M53" s="83" t="str">
        <f>IF((L53&gt;L54),J53,J54)</f>
        <v>OMEGA</v>
      </c>
      <c r="N53" s="84"/>
      <c r="O53" s="38"/>
      <c r="P53" s="15"/>
      <c r="Q53" s="15"/>
      <c r="R53" s="16"/>
    </row>
    <row r="54" spans="2:19" ht="16.5" thickTop="1" thickBot="1" x14ac:dyDescent="0.3">
      <c r="B54" s="2" t="s">
        <v>47</v>
      </c>
      <c r="C54" s="1"/>
      <c r="D54" s="1"/>
      <c r="E54" s="1"/>
      <c r="F54" s="3"/>
      <c r="H54" s="9"/>
      <c r="J54" s="73" t="str">
        <f>IF((L51&lt;L52),J51,J52)</f>
        <v>OMEGA</v>
      </c>
      <c r="K54" s="74"/>
      <c r="L54" s="38"/>
      <c r="M54" s="76" t="s">
        <v>18</v>
      </c>
      <c r="N54" s="77"/>
      <c r="O54" s="78"/>
      <c r="R54" s="10"/>
    </row>
    <row r="55" spans="2:19" ht="16.5" thickTop="1" thickBot="1" x14ac:dyDescent="0.3">
      <c r="B55" s="4" t="s">
        <v>48</v>
      </c>
      <c r="C55" s="5"/>
      <c r="D55" s="5"/>
      <c r="E55" s="5"/>
      <c r="F55" s="6"/>
      <c r="H55" s="9"/>
      <c r="J55" s="75" t="s">
        <v>17</v>
      </c>
      <c r="K55" s="75"/>
      <c r="L55" s="75"/>
      <c r="R55" s="10"/>
    </row>
    <row r="56" spans="2:19" ht="15.75" thickBot="1" x14ac:dyDescent="0.3">
      <c r="H56" s="11"/>
      <c r="I56" s="12"/>
      <c r="J56" s="12"/>
      <c r="K56" s="12"/>
      <c r="L56" s="12"/>
      <c r="M56" s="12"/>
      <c r="N56" s="12"/>
      <c r="O56" s="12"/>
      <c r="P56" s="12"/>
      <c r="Q56" s="12"/>
      <c r="R56" s="13"/>
    </row>
    <row r="59" spans="2:19" x14ac:dyDescent="0.25">
      <c r="H59" s="43"/>
      <c r="J59" s="55"/>
      <c r="K59" s="55"/>
    </row>
    <row r="61" spans="2:19" x14ac:dyDescent="0.25">
      <c r="H61" s="43"/>
      <c r="J61" s="55"/>
      <c r="K61" s="55"/>
    </row>
  </sheetData>
  <mergeCells count="36">
    <mergeCell ref="J54:K54"/>
    <mergeCell ref="M54:O54"/>
    <mergeCell ref="J55:L55"/>
    <mergeCell ref="J59:K59"/>
    <mergeCell ref="J61:K61"/>
    <mergeCell ref="J52:K52"/>
    <mergeCell ref="M52:N52"/>
    <mergeCell ref="P52:Q52"/>
    <mergeCell ref="H53:I53"/>
    <mergeCell ref="J53:K53"/>
    <mergeCell ref="M53:N53"/>
    <mergeCell ref="J50:K50"/>
    <mergeCell ref="M50:N50"/>
    <mergeCell ref="P50:R50"/>
    <mergeCell ref="J51:K51"/>
    <mergeCell ref="M51:N51"/>
    <mergeCell ref="P51:Q51"/>
    <mergeCell ref="B46:F46"/>
    <mergeCell ref="H46:R46"/>
    <mergeCell ref="H48:I48"/>
    <mergeCell ref="J48:L48"/>
    <mergeCell ref="J49:K49"/>
    <mergeCell ref="M49:O49"/>
    <mergeCell ref="B24:F24"/>
    <mergeCell ref="H24:L24"/>
    <mergeCell ref="N24:R24"/>
    <mergeCell ref="B35:F35"/>
    <mergeCell ref="H35:L35"/>
    <mergeCell ref="N35:R35"/>
    <mergeCell ref="A1:G1"/>
    <mergeCell ref="I1:L1"/>
    <mergeCell ref="I2:R9"/>
    <mergeCell ref="I10:R10"/>
    <mergeCell ref="B13:F13"/>
    <mergeCell ref="H13:L13"/>
    <mergeCell ref="N13:R13"/>
  </mergeCells>
  <conditionalFormatting sqref="C14:C22">
    <cfRule type="expression" dxfId="84" priority="39">
      <formula>AND(ISNUMBER($D14),ISNUMBER($E14),$D14&lt;$E14)</formula>
    </cfRule>
    <cfRule type="expression" dxfId="83" priority="40">
      <formula>AND(ISNUMBER($D14),ISNUMBER($E14),$D14&gt;$E14)</formula>
    </cfRule>
  </conditionalFormatting>
  <conditionalFormatting sqref="C25:C33">
    <cfRule type="expression" dxfId="82" priority="35">
      <formula>AND(ISNUMBER($D25),ISNUMBER($E25),$D25&lt;$E25)</formula>
    </cfRule>
    <cfRule type="expression" dxfId="81" priority="36">
      <formula>AND(ISNUMBER($D25),ISNUMBER($E25),$D25&gt;$E25)</formula>
    </cfRule>
  </conditionalFormatting>
  <conditionalFormatting sqref="C36:C44">
    <cfRule type="expression" dxfId="80" priority="19">
      <formula>AND(ISNUMBER($D36),ISNUMBER($E36),$D36&lt;$E36)</formula>
    </cfRule>
    <cfRule type="expression" dxfId="79" priority="20">
      <formula>AND(ISNUMBER($D36),ISNUMBER($E36),$D36&gt;$E36)</formula>
    </cfRule>
  </conditionalFormatting>
  <conditionalFormatting sqref="C47:C55">
    <cfRule type="expression" dxfId="78" priority="15">
      <formula>AND(ISNUMBER($D47),ISNUMBER($E47),$D47&lt;$E47)</formula>
    </cfRule>
    <cfRule type="expression" dxfId="77" priority="16">
      <formula>AND(ISNUMBER($D47),ISNUMBER($E47),$D47&gt;$E47)</formula>
    </cfRule>
  </conditionalFormatting>
  <conditionalFormatting sqref="F14:F22">
    <cfRule type="expression" dxfId="76" priority="37">
      <formula>AND(ISNUMBER($D14),ISNUMBER($E14),$E14&lt;$D14)</formula>
    </cfRule>
    <cfRule type="expression" dxfId="75" priority="38">
      <formula>AND(ISNUMBER($D14),ISNUMBER($E14),$E14&gt;$D14)</formula>
    </cfRule>
  </conditionalFormatting>
  <conditionalFormatting sqref="F25:F33">
    <cfRule type="expression" dxfId="74" priority="33">
      <formula>AND(ISNUMBER($D25),ISNUMBER($E25),$E25&lt;$D25)</formula>
    </cfRule>
    <cfRule type="expression" dxfId="73" priority="34">
      <formula>AND(ISNUMBER($D25),ISNUMBER($E25),$E25&gt;$D25)</formula>
    </cfRule>
  </conditionalFormatting>
  <conditionalFormatting sqref="F36:F44">
    <cfRule type="expression" dxfId="72" priority="17">
      <formula>AND(ISNUMBER($D36),ISNUMBER($E36),$E36&lt;$D36)</formula>
    </cfRule>
    <cfRule type="expression" dxfId="71" priority="18">
      <formula>AND(ISNUMBER($D36),ISNUMBER($E36),$E36&gt;$D36)</formula>
    </cfRule>
  </conditionalFormatting>
  <conditionalFormatting sqref="F47:F55">
    <cfRule type="expression" dxfId="70" priority="13">
      <formula>AND(ISNUMBER($D47),ISNUMBER($E47),$E47&lt;$D47)</formula>
    </cfRule>
    <cfRule type="expression" dxfId="69" priority="14">
      <formula>AND(ISNUMBER($D47),ISNUMBER($E47),$E47&gt;$D47)</formula>
    </cfRule>
  </conditionalFormatting>
  <conditionalFormatting sqref="I14:I22">
    <cfRule type="expression" dxfId="68" priority="31">
      <formula>AND(ISNUMBER($J14),ISNUMBER($K14),$J14&lt;$K14)</formula>
    </cfRule>
    <cfRule type="expression" dxfId="67" priority="32">
      <formula>AND(ISNUMBER($J14),ISNUMBER($K14),$J14&gt;$K14)</formula>
    </cfRule>
  </conditionalFormatting>
  <conditionalFormatting sqref="I25:I33">
    <cfRule type="expression" dxfId="66" priority="27">
      <formula>AND(ISNUMBER($J25),ISNUMBER($K25),$J25&lt;$K25)</formula>
    </cfRule>
    <cfRule type="expression" dxfId="65" priority="28">
      <formula>AND(ISNUMBER($J25),ISNUMBER($K25),$J25&gt;$K25)</formula>
    </cfRule>
  </conditionalFormatting>
  <conditionalFormatting sqref="I36:I44">
    <cfRule type="expression" dxfId="64" priority="23">
      <formula>AND(ISNUMBER($J36),ISNUMBER($K36),$J36&lt;$K36)</formula>
    </cfRule>
    <cfRule type="expression" dxfId="63" priority="24">
      <formula>AND(ISNUMBER($J36),ISNUMBER($K36),$J36&gt;$K36)</formula>
    </cfRule>
  </conditionalFormatting>
  <conditionalFormatting sqref="L14:L22">
    <cfRule type="expression" dxfId="62" priority="29">
      <formula>AND(ISNUMBER($J14),ISNUMBER($K14),$J14&gt;$K14)</formula>
    </cfRule>
    <cfRule type="expression" dxfId="61" priority="30">
      <formula>AND(ISNUMBER($J14),ISNUMBER($K14),$J14&lt;$K14)</formula>
    </cfRule>
  </conditionalFormatting>
  <conditionalFormatting sqref="L25:L33">
    <cfRule type="expression" dxfId="60" priority="25">
      <formula>AND(ISNUMBER($J25),ISNUMBER($K25),$J25&gt;$K25)</formula>
    </cfRule>
    <cfRule type="expression" dxfId="59" priority="26">
      <formula>AND(ISNUMBER($J25),ISNUMBER($K25),$J25&lt;$K25)</formula>
    </cfRule>
  </conditionalFormatting>
  <conditionalFormatting sqref="L36:L44">
    <cfRule type="expression" dxfId="58" priority="21">
      <formula>AND(ISNUMBER($J36),ISNUMBER($K36),$J36&gt;$K36)</formula>
    </cfRule>
    <cfRule type="expression" dxfId="57" priority="22">
      <formula>AND(ISNUMBER($J36),ISNUMBER($K36),$J36&lt;$K36)</formula>
    </cfRule>
  </conditionalFormatting>
  <conditionalFormatting sqref="O14:O22">
    <cfRule type="expression" dxfId="56" priority="11">
      <formula>AND(ISNUMBER($P14),ISNUMBER($Q14),$P14&lt;$Q14)</formula>
    </cfRule>
    <cfRule type="expression" dxfId="55" priority="12">
      <formula>AND(ISNUMBER($P14),ISNUMBER($Q14),$P14&gt;$Q14)</formula>
    </cfRule>
  </conditionalFormatting>
  <conditionalFormatting sqref="O25:O33">
    <cfRule type="expression" dxfId="54" priority="7">
      <formula>AND(ISNUMBER($P25),ISNUMBER($Q25),$P25&lt;$Q25)</formula>
    </cfRule>
    <cfRule type="expression" dxfId="53" priority="8">
      <formula>AND(ISNUMBER($P25),ISNUMBER($Q25),$P25&gt;$Q25)</formula>
    </cfRule>
  </conditionalFormatting>
  <conditionalFormatting sqref="O36:O44">
    <cfRule type="expression" dxfId="52" priority="3">
      <formula>AND(ISNUMBER($P36),ISNUMBER($Q36),$P36&lt;$Q36)</formula>
    </cfRule>
    <cfRule type="expression" dxfId="51" priority="4">
      <formula>AND(ISNUMBER($P36),ISNUMBER($Q36),$P36&gt;$Q36)</formula>
    </cfRule>
  </conditionalFormatting>
  <conditionalFormatting sqref="R14:R22">
    <cfRule type="expression" dxfId="50" priority="9">
      <formula>AND(ISNUMBER($P14),ISNUMBER($Q14),$P14&gt;$Q14)</formula>
    </cfRule>
    <cfRule type="expression" dxfId="49" priority="10">
      <formula>AND(ISNUMBER($P14),ISNUMBER($Q14),$P14&lt;$Q14)</formula>
    </cfRule>
  </conditionalFormatting>
  <conditionalFormatting sqref="R25:R33">
    <cfRule type="expression" dxfId="48" priority="5">
      <formula>AND(ISNUMBER($P25),ISNUMBER($Q25),$P25&gt;$Q25)</formula>
    </cfRule>
    <cfRule type="expression" dxfId="47" priority="6">
      <formula>AND(ISNUMBER($P25),ISNUMBER($Q25),$P25&lt;$Q25)</formula>
    </cfRule>
  </conditionalFormatting>
  <conditionalFormatting sqref="R36:R44">
    <cfRule type="expression" dxfId="46" priority="1">
      <formula>AND(ISNUMBER($P36),ISNUMBER($Q36),$P36&gt;$Q36)</formula>
    </cfRule>
    <cfRule type="expression" dxfId="45" priority="2">
      <formula>AND(ISNUMBER($P36),ISNUMBER($Q36),$P36&lt;$Q36)</formula>
    </cfRule>
  </conditionalFormatting>
  <dataValidations count="4">
    <dataValidation type="list" allowBlank="1" showInputMessage="1" showErrorMessage="1" sqref="I49:I52 L49:L54 O50:O51" xr:uid="{2AC35715-5126-4C8B-836F-977311BB5FC7}">
      <formula1>"0,1,2,3"</formula1>
    </dataValidation>
    <dataValidation type="list" allowBlank="1" showInputMessage="1" showErrorMessage="1" sqref="O52:O53 R51:R52" xr:uid="{83DD0C4F-2D9C-477E-B1A0-35299695F693}">
      <formula1>"0,1,2,3,4"</formula1>
    </dataValidation>
    <dataValidation type="list" allowBlank="1" showInputMessage="1" showErrorMessage="1" sqref="D14:E22 D25:E33 J14:K22 J25:K33 J36:K44 D36:E44 D47:E55 P14:Q22 P25:Q33 P36:Q44" xr:uid="{84190180-2645-4B02-8CB0-15E965C4AB48}">
      <formula1>"0,1,2"</formula1>
    </dataValidation>
    <dataValidation type="list" allowBlank="1" showInputMessage="1" showErrorMessage="1" sqref="C14:C22 F14:F22 C25:C33 F25:F33 I14:I22 L14:L22 I25:I33 L25:L33 I36:I44 L36:L44 C36:C44 F36:F44 C47:C55 F47:F55 O14:O22 R14:R22 O25:O33 R25:R33 O36:O44 R36:R44" xr:uid="{354B0928-FEA4-44A4-91F9-500AA7B5A44B}">
      <formula1>$B$3:$B$11</formula1>
    </dataValidation>
  </dataValidations>
  <pageMargins left="0.7" right="0.7" top="0.75" bottom="0.75" header="0.3" footer="0.3"/>
  <pageSetup paperSize="9" scale="55" fitToWidth="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8B90-D2C1-45A7-9AC6-2CD09BC77B54}">
  <sheetPr>
    <pageSetUpPr fitToPage="1"/>
  </sheetPr>
  <dimension ref="A1:BO61"/>
  <sheetViews>
    <sheetView zoomScaleNormal="100" workbookViewId="0">
      <selection activeCell="AX5" sqref="AX5"/>
    </sheetView>
  </sheetViews>
  <sheetFormatPr defaultRowHeight="15" x14ac:dyDescent="0.25"/>
  <cols>
    <col min="1" max="1" width="3.5703125" bestFit="1" customWidth="1"/>
    <col min="2" max="2" width="19.5703125" customWidth="1"/>
    <col min="3" max="3" width="10.28515625" customWidth="1"/>
    <col min="4" max="4" width="11.42578125" customWidth="1"/>
    <col min="5" max="5" width="10.140625" customWidth="1"/>
    <col min="6" max="6" width="10.85546875" customWidth="1"/>
    <col min="7" max="7" width="7.140625" customWidth="1"/>
    <col min="8" max="8" width="19.5703125" customWidth="1"/>
    <col min="9" max="9" width="10.140625" bestFit="1" customWidth="1"/>
    <col min="12" max="12" width="10.140625" bestFit="1" customWidth="1"/>
    <col min="13" max="13" width="7.140625" customWidth="1"/>
    <col min="14" max="14" width="19.5703125" customWidth="1"/>
    <col min="15" max="15" width="10.140625" bestFit="1" customWidth="1"/>
    <col min="18" max="18" width="10.140625" bestFit="1" customWidth="1"/>
    <col min="57" max="57" width="7.85546875" customWidth="1"/>
    <col min="58" max="58" width="11" hidden="1" customWidth="1"/>
    <col min="59" max="61" width="7.85546875" hidden="1" customWidth="1"/>
    <col min="62" max="65" width="9.140625" hidden="1" customWidth="1"/>
    <col min="66" max="66" width="4.7109375" hidden="1" customWidth="1"/>
    <col min="67" max="67" width="9.140625" hidden="1" customWidth="1"/>
  </cols>
  <sheetData>
    <row r="1" spans="1:67" ht="23.25" x14ac:dyDescent="0.25">
      <c r="A1" s="68" t="s">
        <v>26</v>
      </c>
      <c r="B1" s="69"/>
      <c r="C1" s="69"/>
      <c r="D1" s="69"/>
      <c r="E1" s="69"/>
      <c r="F1" s="69"/>
      <c r="G1" s="70"/>
      <c r="I1" s="71" t="s">
        <v>19</v>
      </c>
      <c r="J1" s="72"/>
      <c r="K1" s="72"/>
      <c r="L1" s="72"/>
      <c r="M1" s="7"/>
      <c r="N1" s="14"/>
      <c r="O1" s="7"/>
      <c r="P1" s="7"/>
      <c r="Q1" s="7"/>
      <c r="R1" s="8"/>
      <c r="BF1" s="25" t="s">
        <v>20</v>
      </c>
      <c r="BG1" s="25">
        <f>SUMPRODUCT(($C$14:$C$22=$BF1)*($D$14:$D$22&gt;$E$14:$E$22))+SUMPRODUCT(($F$14:$F$22=$BF1)*($E$14:$E$22&gt;$D$14:$D$22))+SUMPRODUCT(($I$14:$I$22=$BF1)*($J$14:$J$22&gt;$K$14:$K$22))+SUMPRODUCT(($L$14:$L$22=$BF1)*($K$14:$K$22&gt;$J$14:$J$22))+SUMPRODUCT(($O$14:$O$22=$BF1)*($P$14:$P$22&gt;$Q$14:$Q$22))+SUMPRODUCT(($R$14:$R$22=$BF1)*($Q$14:$Q$22&gt;$P$14:$P$22))+SUMPRODUCT(($C$25:$C$33=$BF1)*($D$25:$D$33&gt;$E$25:$E$33))+SUMPRODUCT(($F$25:$F$33=$BF1)*($E$25:$E$33&gt;$D$25:$D$33))+SUMPRODUCT(($I$25:$I$33=$BF1)*($J$25:$J$33&gt;$K$25:$K$33))+SUMPRODUCT(($L$25:$L$33=$BF1)*($K$25:$K$33&gt;$J$25:$J$33))+SUMPRODUCT(($O$25:$O$33=$BF1)*($P$25:$P$33&gt;$Q$25:$Q$33))+SUMPRODUCT(($R$25:$R$33=$BF1)*($Q$25:$Q$33&gt;$P$25:$P$33))+SUMPRODUCT(($C$36:$C$44=$BF1)*($D$36:$D$44&gt;$E$36:$E$44))+SUMPRODUCT(($F$36:$F$44=$BF1)*($E$36:$E$44&gt;$D$36:$D$44))+SUMPRODUCT(($I$36:$I$44=$BF1)*($J$36:$J$44&gt;$K$36:$K$44))+SUMPRODUCT(($L$36:$L$44=$BF1)*($K$36:$K$44&gt;$J$36:$J$44))+SUMPRODUCT(($O$36:$O$44=$BF1)*($P$36:$P$44&gt;$Q$36:$Q$44))+SUMPRODUCT(($R$36:$R$44=$BF1)*($Q$36:$Q$44&gt;$P$36:$P$44))</f>
        <v>8</v>
      </c>
      <c r="BH1" s="25">
        <f>SUMPRODUCT(($C$14:$C$22=$BF1)*($D$14:$D$22-$E$14:$E$22))+SUMPRODUCT(($F$14:$F$22=$BF1)*($E$14:$E$22-$D$14:$D$22))+SUMPRODUCT(($I$14:$I$22=$BF1)*($J$14:$J$22-$K$14:$K$22))+SUMPRODUCT(($L$14:$L$22=$BF1)*($K$14:$K$22-$J$14:$J$22))+SUMPRODUCT(($O$14:$O$22=$BF1)*($P$14:$P$22-$Q$14:$Q$22))+SUMPRODUCT(($R$14:$R$22=$BF1)*($Q$14:$Q$22-$P$14:$P$22))+SUMPRODUCT(($C$25:$C$33=$BF1)*($D$25:$D$33-$E$25:$E$33))+SUMPRODUCT(($F$25:$F$33=$BF1)*($E$25:$E$33-$D$25:$D$33))+SUMPRODUCT(($I$25:$I$33=$BF1)*($J$25:$J$33-$K$25:$K$33))+SUMPRODUCT(($L$25:$L$33=$BF1)*($K$25:$K$33-$J$25:$J$33))+SUMPRODUCT(($O$25:$O$33=$BF1)*($P$25:$P$33-$Q$25:$Q$33))+SUMPRODUCT(($R$25:$R$33=$BF1)*($Q$25:$Q$33-$P$25:$P$33))+SUMPRODUCT(($C$36:$C$44=$BF1)*($D$36:$D$44-$E$36:$E$44))+SUMPRODUCT(($F$36:$F$44=$BF1)*($E$36:$E$44-$D$36:$D$44))+SUMPRODUCT(($I$36:$I$44=$BF1)*($J$36:$J$44-$K$36:$K$44))+SUMPRODUCT(($L$36:$L$44=$BF1)*($K$36:$K$44-$J$36:$J$44))+SUMPRODUCT(($O$36:$O$44=$BF1)*($P$36:$P$44-$Q$36:$Q$44))+SUMPRODUCT(($R$36:$R$44=$BF1)*($Q$36:$Q$44-$P$36:$P$44))+SUMPRODUCT(($C$47:$C$55=$BF1)*($D$47:$D$55-$E$47:$E$55))+SUMPRODUCT(($F$47:$F$55=$BF1)*($E$47:$E$55-$D$47:$D$55))</f>
        <v>10</v>
      </c>
      <c r="BI1" s="25">
        <f t="shared" ref="BI1:BI9" si="0">IF(COUNTIFS($BG$1:$BG$9,BG1,$BH$1:$BH$9,BH1)&lt;=1,0,SUMPRODUCT(INDEX($BG$13:$BO$21,MATCH(BF1,$BF$13:$BF$21,0),0)*TRANSPOSE(($BG$1:$BG$9=BG1)*($BH$1:$BH$9=BH1))))</f>
        <v>8</v>
      </c>
      <c r="BJ1" s="25">
        <f t="shared" ref="BJ1:BJ9" si="1">1+SUMPRODUCT(--($BG$1:$BG$9&gt;BG1))+SUMPRODUCT(--($BG$1:$BG$9=BG1),--($BH$1:$BH$9&gt;BH1))+SUMPRODUCT(--($BG$1:$BG$9=BG1),--($BH$1:$BH$9=BH1),--($BI$1:$BI$9&gt;BI1))+SUMPRODUCT(--($BG$1:$BG$9=BG1),--($BH$1:$BH$9=BH1),--($BI$1:$BI$9=BI1),--($BF$1:$BF$9&lt;BF1))</f>
        <v>2</v>
      </c>
      <c r="BL1" s="25"/>
    </row>
    <row r="2" spans="1:67" ht="15.75" customHeight="1" x14ac:dyDescent="0.25">
      <c r="A2" s="19" t="s">
        <v>28</v>
      </c>
      <c r="B2" s="26" t="s">
        <v>29</v>
      </c>
      <c r="C2" s="20" t="s">
        <v>30</v>
      </c>
      <c r="D2" s="20" t="s">
        <v>31</v>
      </c>
      <c r="E2" s="20" t="s">
        <v>32</v>
      </c>
      <c r="F2" s="20" t="s">
        <v>33</v>
      </c>
      <c r="G2" s="21" t="s">
        <v>27</v>
      </c>
      <c r="I2" s="59" t="s">
        <v>34</v>
      </c>
      <c r="J2" s="60"/>
      <c r="K2" s="60"/>
      <c r="L2" s="60"/>
      <c r="M2" s="60"/>
      <c r="N2" s="60"/>
      <c r="O2" s="60"/>
      <c r="P2" s="60"/>
      <c r="Q2" s="60"/>
      <c r="R2" s="61"/>
      <c r="BF2" s="25" t="s">
        <v>21</v>
      </c>
      <c r="BG2" s="25">
        <f t="shared" ref="BG2:BG9" si="2">SUMPRODUCT(($C$14:$C$22=$BF2)*($D$14:$D$22&gt;$E$14:$E$22))+SUMPRODUCT(($F$14:$F$22=$BF2)*($E$14:$E$22&gt;$D$14:$D$22))+SUMPRODUCT(($I$14:$I$22=$BF2)*($J$14:$J$22&gt;$K$14:$K$22))+SUMPRODUCT(($L$14:$L$22=$BF2)*($K$14:$K$22&gt;$J$14:$J$22))+SUMPRODUCT(($O$14:$O$22=$BF2)*($P$14:$P$22&gt;$Q$14:$Q$22))+SUMPRODUCT(($R$14:$R$22=$BF2)*($Q$14:$Q$22&gt;$P$14:$P$22))+SUMPRODUCT(($C$25:$C$33=$BF2)*($D$25:$D$33&gt;$E$25:$E$33))+SUMPRODUCT(($F$25:$F$33=$BF2)*($E$25:$E$33&gt;$D$25:$D$33))+SUMPRODUCT(($I$25:$I$33=$BF2)*($J$25:$J$33&gt;$K$25:$K$33))+SUMPRODUCT(($L$25:$L$33=$BF2)*($K$25:$K$33&gt;$J$25:$J$33))+SUMPRODUCT(($O$25:$O$33=$BF2)*($P$25:$P$33&gt;$Q$25:$Q$33))+SUMPRODUCT(($R$25:$R$33=$BF2)*($Q$25:$Q$33&gt;$P$25:$P$33))+SUMPRODUCT(($C$36:$C$44=$BF2)*($D$36:$D$44&gt;$E$36:$E$44))+SUMPRODUCT(($F$36:$F$44=$BF2)*($E$36:$E$44&gt;$D$36:$D$44))+SUMPRODUCT(($I$36:$I$44=$BF2)*($J$36:$J$44&gt;$K$36:$K$44))+SUMPRODUCT(($L$36:$L$44=$BF2)*($K$36:$K$44&gt;$J$36:$J$44))+SUMPRODUCT(($O$36:$O$44=$BF2)*($P$36:$P$44&gt;$Q$36:$Q$44))+SUMPRODUCT(($R$36:$R$44=$BF2)*($Q$36:$Q$44&gt;$P$36:$P$44))</f>
        <v>5</v>
      </c>
      <c r="BH2" s="25">
        <f t="shared" ref="BH2:BH9" si="3">SUMPRODUCT(($C$14:$C$22=$BF2)*($D$14:$D$22-$E$14:$E$22))+SUMPRODUCT(($F$14:$F$22=$BF2)*($E$14:$E$22-$D$14:$D$22))+SUMPRODUCT(($I$14:$I$22=$BF2)*($J$14:$J$22-$K$14:$K$22))+SUMPRODUCT(($L$14:$L$22=$BF2)*($K$14:$K$22-$J$14:$J$22))+SUMPRODUCT(($O$14:$O$22=$BF2)*($P$14:$P$22-$Q$14:$Q$22))+SUMPRODUCT(($R$14:$R$22=$BF2)*($Q$14:$Q$22-$P$14:$P$22))+SUMPRODUCT(($C$25:$C$33=$BF2)*($D$25:$D$33-$E$25:$E$33))+SUMPRODUCT(($F$25:$F$33=$BF2)*($E$25:$E$33-$D$25:$D$33))+SUMPRODUCT(($I$25:$I$33=$BF2)*($J$25:$J$33-$K$25:$K$33))+SUMPRODUCT(($L$25:$L$33=$BF2)*($K$25:$K$33-$J$25:$J$33))+SUMPRODUCT(($O$25:$O$33=$BF2)*($P$25:$P$33-$Q$25:$Q$33))+SUMPRODUCT(($R$25:$R$33=$BF2)*($Q$25:$Q$33-$P$25:$P$33))+SUMPRODUCT(($C$36:$C$44=$BF2)*($D$36:$D$44-$E$36:$E$44))+SUMPRODUCT(($F$36:$F$44=$BF2)*($E$36:$E$44-$D$36:$D$44))+SUMPRODUCT(($I$36:$I$44=$BF2)*($J$36:$J$44-$K$36:$K$44))+SUMPRODUCT(($L$36:$L$44=$BF2)*($K$36:$K$44-$J$36:$J$44))+SUMPRODUCT(($O$36:$O$44=$BF2)*($P$36:$P$44-$Q$36:$Q$44))+SUMPRODUCT(($R$36:$R$44=$BF2)*($Q$36:$Q$44-$P$36:$P$44))+SUMPRODUCT(($C$47:$C$55=$BF2)*($D$47:$D$55-$E$47:$E$55))+SUMPRODUCT(($F$47:$F$55=$BF2)*($E$47:$E$55-$D$47:$D$55))</f>
        <v>-2</v>
      </c>
      <c r="BI2" s="25">
        <f t="shared" si="0"/>
        <v>0</v>
      </c>
      <c r="BJ2" s="25">
        <f t="shared" si="1"/>
        <v>5</v>
      </c>
      <c r="BL2" s="25"/>
    </row>
    <row r="3" spans="1:67" ht="15.75" x14ac:dyDescent="0.25">
      <c r="A3" s="27">
        <v>1</v>
      </c>
      <c r="B3" s="28" t="str">
        <f t="shared" ref="B3:B11" si="4">INDEX($BF$1:$BF$9,MATCH(ROW()-2,$BJ$1:$BJ$9,0))</f>
        <v>TLID</v>
      </c>
      <c r="C3" s="29">
        <f>SUMPRODUCT(($C$14:$C$22=$B3)*ISNUMBER($D$14:$D$22)*ISNUMBER($E$14:$E$22)*($D$14:$D$22&gt;$E$14:$E$22))+SUMPRODUCT(($F$14:$F$22=$B3)*ISNUMBER($D$14:$D$22)*ISNUMBER($E$14:$E$22)*($E$14:$E$22&gt;$D$14:$D$22))+SUMPRODUCT(($I$14:$I$22=$B3)*ISNUMBER($J$14:$J$22)*ISNUMBER($K$14:$K$22)*($J$14:$J$22&gt;$K$14:$K$22))+SUMPRODUCT(($L$14:$L$22=$B3)*ISNUMBER($J$14:$J$22)*ISNUMBER($K$14:$K$22)*($K$14:$K$22&gt;$J$14:$J$22))+SUMPRODUCT(($O$14:$O$22=$B3)*ISNUMBER($P$14:$P$22)*ISNUMBER($Q$14:$Q$22)*($P$14:$P$22&gt;$Q$14:$Q$22))+SUMPRODUCT(($R$14:$R$22=$B3)*ISNUMBER($P$14:$P$22)*ISNUMBER($Q$14:$Q$22)*($Q$14:$Q$22&gt;$P$14:$P$22))+SUMPRODUCT(($C$25:$C$33=$B3)*ISNUMBER($D$25:$D$33)*ISNUMBER($E$25:$E$33)*($D$25:$D$33&gt;$E$25:$E$33))+SUMPRODUCT(($F$25:$F$33=$B3)*ISNUMBER($D$25:$D$33)*ISNUMBER($E$25:$E$33)*($E$25:$E$33&gt;$D$25:$D$33))+SUMPRODUCT(($I$25:$I$33=$B3)*ISNUMBER($J$25:$J$33)*ISNUMBER($K$25:$K$33)*($J$25:$J$33&gt;$K$25:$K$33))+SUMPRODUCT(($L$25:$L$33=$B3)*ISNUMBER($J$25:$J$33)*ISNUMBER($K$25:$K$33)*($K$25:$K$33&gt;$J$25:$J$33))+SUMPRODUCT(($O$25:$O$33=$B3)*ISNUMBER($P$25:$P$33)*ISNUMBER($Q$25:$Q$33)*($P$25:$P$33&gt;$Q$25:$Q$33))+SUMPRODUCT(($R$25:$R$33=$B3)*ISNUMBER($P$25:$P$33)*ISNUMBER($Q$25:$Q$33)*($Q$25:$Q$33&gt;$P$25:$P$33))+SUMPRODUCT(($C$36:$C$44=$B3)*ISNUMBER($D$36:$D$44)*ISNUMBER($E$36:$E$44)*($D$36:$D$44&gt;$E$36:$E$44))+SUMPRODUCT(($F$36:$F$44=$B3)*ISNUMBER($D$36:$D$44)*ISNUMBER($E$36:$E$44)*($E$36:$E$44&gt;$D$36:$D$44))+SUMPRODUCT(($I$36:$I$44=$B3)*ISNUMBER($J$36:$J$44)*ISNUMBER($K$36:$K$44)*($J$36:$J$44&gt;$K$36:$K$44))+SUMPRODUCT(($L$36:$L$44=$B3)*ISNUMBER($J$36:$J$44)*ISNUMBER($K$36:$K$44)*($K$36:$K$44&gt;$J$36:$J$44))+SUMPRODUCT(($O$36:$O$44=$B3)*ISNUMBER($P$36:$P$44)*ISNUMBER($Q$36:$Q$44)*($P$36:$P$44&gt;$Q$36:$Q$44))+SUMPRODUCT(($R$36:$R$44=$B3)*ISNUMBER($P$36:$P$44)*ISNUMBER($Q$36:$Q$44)*($Q$36:$Q$44&gt;$P$36:$P$44))</f>
        <v>9</v>
      </c>
      <c r="D3" s="29">
        <f>SUMPRODUCT(($C$14:$C$22=$B3)*ISNUMBER($D$14:$D$22)*ISNUMBER($E$14:$E$22)*($D$14:$D$22&lt;$E$14:$E$22))+SUMPRODUCT(($F$14:$F$22=$B3)*ISNUMBER($D$14:$D$22)*ISNUMBER($E$14:$E$22)*($E$14:$E$22&lt;$D$14:$D$22))+SUMPRODUCT(($I$14:$I$22=$B3)*ISNUMBER($J$14:$J$22)*ISNUMBER($K$14:$K$22)*($J$14:$J$22&lt;$K$14:$K$22))+SUMPRODUCT(($L$14:$L$22=$B3)*ISNUMBER($J$14:$J$22)*ISNUMBER($K$14:$K$22)*($K$14:$K$22&lt;$J$14:$J$22))+SUMPRODUCT(($O$14:$O$22=$B3)*ISNUMBER($P$14:$P$22)*ISNUMBER($Q$14:$Q$22)*($P$14:$P$22&lt;$Q$14:$Q$22))+SUMPRODUCT(($R$14:$R$22=$B3)*ISNUMBER($P$14:$P$22)*ISNUMBER($Q$14:$Q$22)*($Q$14:$Q$22&lt;$P$14:$P$22))+SUMPRODUCT(($C$25:$C$33=$B3)*ISNUMBER($D$25:$D$33)*ISNUMBER($E$25:$E$33)*($D$25:$D$33&lt;$E$25:$E$33))+SUMPRODUCT(($F$25:$F$33=$B3)*ISNUMBER($D$25:$D$33)*ISNUMBER($E$25:$E$33)*($E$25:$E$33&lt;$D$25:$D$33))+SUMPRODUCT(($I$25:$I$33=$B3)*ISNUMBER($J$25:$J$33)*ISNUMBER($K$25:$K$33)*($J$25:$J$33&lt;$K$25:$K$33))+SUMPRODUCT(($L$25:$L$33=$B3)*ISNUMBER($J$25:$J$33)*ISNUMBER($K$25:$K$33)*($K$25:$K$33&lt;$J$25:$K$33))+SUMPRODUCT(($O$25:$O$33=$B3)*ISNUMBER($P$25:$P$33)*ISNUMBER($Q$25:$Q$33)*($P$25:$P$33&lt;$Q$25:$Q$33))+SUMPRODUCT(($R$25:$R$33=$B3)*ISNUMBER($P$25:$P$33)*ISNUMBER($Q$25:$Q$33)*($Q$25:$Q$33&lt;$P$25:$P$33))+SUMPRODUCT(($C$36:$C$44=$B3)*ISNUMBER($D$36:$D$44)*ISNUMBER($E$36:$E$44)*($D$36:$D$44&lt;$E$36:$E$44))+SUMPRODUCT(($F$36:$F$44=$B3)*ISNUMBER($D$36:$D$44)*ISNUMBER($E$36:$E$44)*($E$36:$E$44&lt;$D$36:$D$44))+SUMPRODUCT(($I$36:$I$44=$B3)*ISNUMBER($J$36:$J$44)*ISNUMBER($K$36:$K$44)*($J$36:$J$44&lt;$K$36:$K$44))+SUMPRODUCT(($L$36:$L$44=$B3)*ISNUMBER($J$36:$J$44)*ISNUMBER($K$36:$K$44)*($K$36:$K$44&lt;$J$36:$J$44))+SUMPRODUCT(($O$36:$O$44=$B3)*ISNUMBER($P$36:$P$44)*ISNUMBER($Q$36:$Q$44)*($P$36:$P$44&lt;$Q$36:$Q$44))+SUMPRODUCT(($R$36:$R$44=$B3)*ISNUMBER($P$36:$P$44)*ISNUMBER($Q$36:$Q$44)*($Q$36:$Q$44&lt;$P$36:$P$44))</f>
        <v>2</v>
      </c>
      <c r="E3" s="29">
        <f>SUMIF($C$14:$C$22,$B3,$D$14:$D$22)+SUMIF($F$14:$F$22,$B3,$E$14:$E$22)+SUMIF($I$14:$I$22,$B3,$J$14:$J$22)+SUMIF($L$14:$L$22,$B3,$K$14:$K$22)+SUMIF($O$14:$O$22,$B3,$P$14:$P$22)+SUMIF($R$14:$R$22,$B3,$Q$14:$Q$22)+SUMIF($C$25:$C$33,$B3,$D$25:$D$33)+SUMIF($F$25:$F$33,$B3,$E$25:$E$33)+SUMIF($I$25:$I$33,$B3,$J$25:$J$33)+SUMIF($L$25:$L$33,$B3,$K$25:$K$33)+SUMIF($O$25:$O$33,$B3,$P$25:$P$33)+SUMIF($R$25:$R$33,$B3,$Q$25:$Q$33)+SUMIF($C$36:$C$44,$B3,$D$36:$D$44)+SUMIF($F$36:$F$44,$B3,$E$36:$E$44)+SUMIF($I$36:$I$44,$B3,$J$36:$J$44)+SUMIF($L$36:$L$44,$B3,$K$36:$K$44)+SUMIF($O$36:$O$44,$B3,$P$36:$P$44)+SUMIF($R$36:$R$44,$B3,$Q$36:$Q$44)+SUMIF($C$47:$C$55,$B3,$D$47:$D$55)+SUMIF($F$47:$F$55,$B3,$E$47:$E$55)</f>
        <v>19</v>
      </c>
      <c r="F3" s="29">
        <f>SUMIF($C$14:$C$22,$B3,$E$14:$E$22)+SUMIF($F$14:$F$22,$B3,$D$14:$D$22)+SUMIF($I$14:$I$22,$B3,$K$14:$K$22)+SUMIF($L$14:$L$22,$B3,$J$14:$J$22)+SUMIF($O$14:$O$22,$B3,$Q$14:$Q$22)+SUMIF($R$14:$R$22,$B3,$P$14:$P$22)+SUMIF($C$25:$C$33,$B3,$E$25:$E$33)+SUMIF($F$25:$F$33,$B3,$D$25:$D$33)+SUMIF($I$25:$I$33,$B3,$K$25:$K$33)+SUMIF($L$25:$L$33,$B3,$J$25:$J$33)+SUMIF($O$25:$O$33,$B3,$Q$25:$Q$33)+SUMIF($R$25:$R$33,$B3,$P$25:$P$33)+SUMIF($C$36:$C$44,$B3,$E$36:$E$44)+SUMIF($F$36:$F$44,$B3,$D$36:$D$44)+SUMIF($I$36:$I$44,$B3,$K$36:$K$44)+SUMIF($L$36:$L$44,$B3,$J$36:$J$44)+SUMIF($O$36:$O$44,$B3,$Q$36:$Q$44)+SUMIF($R$36:$R$44,$B3,$P$36:$P$44)+SUMIF($C$47:$C$55,$B3,$E$47:$E$55)+SUMIF($F$47:$F$55,$B3,$D$47:$D$55)</f>
        <v>7</v>
      </c>
      <c r="G3" s="30">
        <f t="shared" ref="G3:G11" si="5">E3-F3</f>
        <v>12</v>
      </c>
      <c r="I3" s="59"/>
      <c r="J3" s="60"/>
      <c r="K3" s="60"/>
      <c r="L3" s="60"/>
      <c r="M3" s="60"/>
      <c r="N3" s="60"/>
      <c r="O3" s="60"/>
      <c r="P3" s="60"/>
      <c r="Q3" s="60"/>
      <c r="R3" s="61"/>
      <c r="BF3" s="25" t="s">
        <v>36</v>
      </c>
      <c r="BG3" s="25">
        <f t="shared" si="2"/>
        <v>4</v>
      </c>
      <c r="BH3" s="25">
        <f t="shared" si="3"/>
        <v>-5</v>
      </c>
      <c r="BI3" s="25">
        <f t="shared" si="0"/>
        <v>0</v>
      </c>
      <c r="BJ3" s="25">
        <f t="shared" si="1"/>
        <v>7</v>
      </c>
      <c r="BL3" s="25"/>
    </row>
    <row r="4" spans="1:67" ht="15.75" x14ac:dyDescent="0.25">
      <c r="A4" s="27">
        <v>2</v>
      </c>
      <c r="B4" s="28" t="str">
        <f t="shared" si="4"/>
        <v>AE</v>
      </c>
      <c r="C4" s="29">
        <f t="shared" ref="C4:C11" si="6">SUMPRODUCT(($C$14:$C$22=$B4)*ISNUMBER($D$14:$D$22)*ISNUMBER($E$14:$E$22)*($D$14:$D$22&gt;$E$14:$E$22))+SUMPRODUCT(($F$14:$F$22=$B4)*ISNUMBER($D$14:$D$22)*ISNUMBER($E$14:$E$22)*($E$14:$E$22&gt;$D$14:$D$22))+SUMPRODUCT(($I$14:$I$22=$B4)*ISNUMBER($J$14:$J$22)*ISNUMBER($K$14:$K$22)*($J$14:$J$22&gt;$K$14:$K$22))+SUMPRODUCT(($L$14:$L$22=$B4)*ISNUMBER($J$14:$J$22)*ISNUMBER($K$14:$K$22)*($K$14:$K$22&gt;$J$14:$J$22))+SUMPRODUCT(($O$14:$O$22=$B4)*ISNUMBER($P$14:$P$22)*ISNUMBER($Q$14:$Q$22)*($P$14:$P$22&gt;$Q$14:$Q$22))+SUMPRODUCT(($R$14:$R$22=$B4)*ISNUMBER($P$14:$P$22)*ISNUMBER($Q$14:$Q$22)*($Q$14:$Q$22&gt;$P$14:$P$22))+SUMPRODUCT(($C$25:$C$33=$B4)*ISNUMBER($D$25:$D$33)*ISNUMBER($E$25:$E$33)*($D$25:$D$33&gt;$E$25:$E$33))+SUMPRODUCT(($F$25:$F$33=$B4)*ISNUMBER($D$25:$D$33)*ISNUMBER($E$25:$E$33)*($E$25:$E$33&gt;$D$25:$D$33))+SUMPRODUCT(($I$25:$I$33=$B4)*ISNUMBER($J$25:$J$33)*ISNUMBER($K$25:$K$33)*($J$25:$J$33&gt;$K$25:$K$33))+SUMPRODUCT(($L$25:$L$33=$B4)*ISNUMBER($J$25:$J$33)*ISNUMBER($K$25:$K$33)*($K$25:$K$33&gt;$J$25:$J$33))+SUMPRODUCT(($O$25:$O$33=$B4)*ISNUMBER($P$25:$P$33)*ISNUMBER($Q$25:$Q$33)*($P$25:$P$33&gt;$Q$25:$Q$33))+SUMPRODUCT(($R$25:$R$33=$B4)*ISNUMBER($P$25:$P$33)*ISNUMBER($Q$25:$Q$33)*($Q$25:$Q$33&gt;$P$25:$P$33))+SUMPRODUCT(($C$36:$C$44=$B4)*ISNUMBER($D$36:$D$44)*ISNUMBER($E$36:$E$44)*($D$36:$D$44&gt;$E$36:$E$44))+SUMPRODUCT(($F$36:$F$44=$B4)*ISNUMBER($D$36:$D$44)*ISNUMBER($E$36:$E$44)*($E$36:$E$44&gt;$D$36:$D$44))+SUMPRODUCT(($I$36:$I$44=$B4)*ISNUMBER($J$36:$J$44)*ISNUMBER($K$36:$K$44)*($J$36:$J$44&gt;$K$36:$K$44))+SUMPRODUCT(($L$36:$L$44=$B4)*ISNUMBER($J$36:$J$44)*ISNUMBER($K$36:$K$44)*($K$36:$K$44&gt;$J$36:$J$44))+SUMPRODUCT(($O$36:$O$44=$B4)*ISNUMBER($P$36:$P$44)*ISNUMBER($Q$36:$Q$44)*($P$36:$P$44&gt;$Q$36:$Q$44))+SUMPRODUCT(($R$36:$R$44=$B4)*ISNUMBER($P$36:$P$44)*ISNUMBER($Q$36:$Q$44)*($Q$36:$Q$44&gt;$P$36:$P$44))</f>
        <v>8</v>
      </c>
      <c r="D4" s="29">
        <f t="shared" ref="D4:D11" si="7">SUMPRODUCT(($C$14:$C$22=$B4)*ISNUMBER($D$14:$D$22)*ISNUMBER($E$14:$E$22)*($D$14:$D$22&lt;$E$14:$E$22))+SUMPRODUCT(($F$14:$F$22=$B4)*ISNUMBER($D$14:$D$22)*ISNUMBER($E$14:$E$22)*($E$14:$E$22&lt;$D$14:$D$22))+SUMPRODUCT(($I$14:$I$22=$B4)*ISNUMBER($J$14:$J$22)*ISNUMBER($K$14:$K$22)*($J$14:$J$22&lt;$K$14:$K$22))+SUMPRODUCT(($L$14:$L$22=$B4)*ISNUMBER($J$14:$J$22)*ISNUMBER($K$14:$K$22)*($K$14:$K$22&lt;$J$14:$J$22))+SUMPRODUCT(($O$14:$O$22=$B4)*ISNUMBER($P$14:$P$22)*ISNUMBER($Q$14:$Q$22)*($P$14:$P$22&lt;$Q$14:$Q$22))+SUMPRODUCT(($R$14:$R$22=$B4)*ISNUMBER($P$14:$P$22)*ISNUMBER($Q$14:$Q$22)*($Q$14:$Q$22&lt;$P$14:$P$22))+SUMPRODUCT(($C$25:$C$33=$B4)*ISNUMBER($D$25:$D$33)*ISNUMBER($E$25:$E$33)*($D$25:$D$33&lt;$E$25:$E$33))+SUMPRODUCT(($F$25:$F$33=$B4)*ISNUMBER($D$25:$D$33)*ISNUMBER($E$25:$E$33)*($E$25:$E$33&lt;$D$25:$D$33))+SUMPRODUCT(($I$25:$I$33=$B4)*ISNUMBER($J$25:$J$33)*ISNUMBER($K$25:$K$33)*($J$25:$J$33&lt;$K$25:$K$33))+SUMPRODUCT(($L$25:$L$33=$B4)*ISNUMBER($J$25:$J$33)*ISNUMBER($K$25:$K$33)*($K$25:$K$33&lt;$J$25:$K$33))+SUMPRODUCT(($O$25:$O$33=$B4)*ISNUMBER($P$25:$P$33)*ISNUMBER($Q$25:$Q$33)*($P$25:$P$33&lt;$Q$25:$Q$33))+SUMPRODUCT(($R$25:$R$33=$B4)*ISNUMBER($P$25:$P$33)*ISNUMBER($Q$25:$Q$33)*($Q$25:$Q$33&lt;$P$25:$P$33))+SUMPRODUCT(($C$36:$C$44=$B4)*ISNUMBER($D$36:$D$44)*ISNUMBER($E$36:$E$44)*($D$36:$D$44&lt;$E$36:$E$44))+SUMPRODUCT(($F$36:$F$44=$B4)*ISNUMBER($D$36:$D$44)*ISNUMBER($E$36:$E$44)*($E$36:$E$44&lt;$D$36:$D$44))+SUMPRODUCT(($I$36:$I$44=$B4)*ISNUMBER($J$36:$J$44)*ISNUMBER($K$36:$K$44)*($J$36:$J$44&lt;$K$36:$K$44))+SUMPRODUCT(($L$36:$L$44=$B4)*ISNUMBER($J$36:$J$44)*ISNUMBER($K$36:$K$44)*($K$36:$K$44&lt;$J$36:$J$44))+SUMPRODUCT(($O$36:$O$44=$B4)*ISNUMBER($P$36:$P$44)*ISNUMBER($Q$36:$Q$44)*($P$36:$P$44&lt;$Q$36:$Q$44))+SUMPRODUCT(($R$36:$R$44=$B4)*ISNUMBER($P$36:$P$44)*ISNUMBER($Q$36:$Q$44)*($Q$36:$Q$44&lt;$P$36:$P$44))</f>
        <v>3</v>
      </c>
      <c r="E4" s="29">
        <f>SUMIF($C$14:$C$22,$B4,$D$14:$D$22)+SUMIF($F$14:$F$22,$B4,$E$14:$E$22)+SUMIF($I$14:$I$22,$B4,$J$14:$J$22)+SUMIF($L$14:$L$22,$B4,$K$14:$K$22)+SUMIF($O$14:$O$22,$B4,$P$14:$P$22)+SUMIF($R$14:$R$22,$B4,$Q$14:$Q$22)+SUMIF($C$25:$C$33,$B4,$D$25:$D$33)+SUMIF($F$25:$F$33,$B4,$E$25:$E$33)+SUMIF($I$25:$I$33,$B4,$J$25:$J$33)+SUMIF($L$25:$L$33,$B4,$K$25:$K$33)+SUMIF($O$25:$O$33,$B4,$P$25:$P$33)+SUMIF($R$25:$R$33,$B4,$Q$25:$Q$33)+SUMIF($C$36:$C$44,$B4,$D$36:$D$44)+SUMIF($F$36:$F$44,$B4,$E$36:$E$44)+SUMIF($I$36:$I$44,$B4,$J$36:$J$44)+SUMIF($L$36:$L$44,$B4,$K$36:$K$44)+SUMIF($O$36:$O$44,$B4,$P$36:$P$44)+SUMIF($R$36:$R$44,$B4,$Q$36:$Q$44)+SUMIF($C$47:$C$55,$B4,$D$47:$D$55)+SUMIF($F$47:$F$55,$B4,$E$47:$E$55)</f>
        <v>17</v>
      </c>
      <c r="F4" s="29">
        <f>SUMIF($C$14:$C$22,$B4,$E$14:$E$22)+SUMIF($F$14:$F$22,$B4,$D$14:$D$22)+SUMIF($I$14:$I$22,$B4,$K$14:$K$22)+SUMIF($L$14:$L$22,$B4,$J$14:$J$22)+SUMIF($O$14:$O$22,$B4,$Q$14:$Q$22)+SUMIF($R$14:$R$22,$B4,$P$14:$P$22)+SUMIF($C$25:$C$33,$B4,$E$25:$E$33)+SUMIF($F$25:$F$33,$B4,$D$25:$D$33)+SUMIF($I$25:$I$33,$B4,$K$25:$K$33)+SUMIF($L$25:$L$33,$B4,$J$25:$J$33)+SUMIF($O$25:$O$33,$B4,$Q$25:$Q$33)+SUMIF($R$25:$R$33,$B4,$P$25:$P$33)+SUMIF($C$36:$C$44,$B4,$E$36:$E$44)+SUMIF($F$36:$F$44,$B4,$D$36:$D$44)+SUMIF($I$36:$I$44,$B4,$K$36:$K$44)+SUMIF($L$36:$L$44,$B4,$J$36:$J$44)+SUMIF($O$36:$O$44,$B4,$Q$36:$Q$44)+SUMIF($R$36:$R$44,$B4,$P$36:$P$44)+SUMIF($C$47:$C$55,$B4,$E$47:$E$55)+SUMIF($F$47:$F$55,$B4,$D$47:$D$55)</f>
        <v>7</v>
      </c>
      <c r="G4" s="30">
        <f t="shared" si="5"/>
        <v>10</v>
      </c>
      <c r="I4" s="59"/>
      <c r="J4" s="60"/>
      <c r="K4" s="60"/>
      <c r="L4" s="60"/>
      <c r="M4" s="60"/>
      <c r="N4" s="60"/>
      <c r="O4" s="60"/>
      <c r="P4" s="60"/>
      <c r="Q4" s="60"/>
      <c r="R4" s="61"/>
      <c r="BF4" s="25" t="s">
        <v>22</v>
      </c>
      <c r="BG4" s="25">
        <f t="shared" si="2"/>
        <v>5</v>
      </c>
      <c r="BH4" s="25">
        <f t="shared" si="3"/>
        <v>-1</v>
      </c>
      <c r="BI4" s="25">
        <f t="shared" si="0"/>
        <v>0</v>
      </c>
      <c r="BJ4" s="25">
        <f t="shared" si="1"/>
        <v>4</v>
      </c>
      <c r="BL4" s="25"/>
    </row>
    <row r="5" spans="1:67" ht="15.75" x14ac:dyDescent="0.25">
      <c r="A5" s="54">
        <v>3</v>
      </c>
      <c r="B5" s="48" t="str">
        <f t="shared" si="4"/>
        <v>NAVI</v>
      </c>
      <c r="C5" s="49">
        <f t="shared" si="6"/>
        <v>8</v>
      </c>
      <c r="D5" s="49">
        <f t="shared" si="7"/>
        <v>2</v>
      </c>
      <c r="E5" s="49">
        <f>SUMIF($C$14:$C$22,$B5,$D$14:$D$22)+SUMIF($F$14:$F$22,$B5,$E$14:$E$22)+SUMIF($I$14:$I$22,$B5,$J$14:$J$22)+SUMIF($L$14:$L$22,$B5,$K$14:$K$22)+SUMIF($O$14:$O$22,$B5,$P$14:$P$22)+SUMIF($R$14:$R$22,$B5,$Q$14:$Q$22)+SUMIF($C$25:$C$33,$B5,$D$25:$D$33)+SUMIF($F$25:$F$33,$B5,$E$25:$E$33)+SUMIF($I$25:$I$33,$B5,$J$25:$J$33)+SUMIF($L$25:$L$33,$B5,$K$25:$K$33)+SUMIF($O$25:$O$33,$B5,$P$25:$P$33)+SUMIF($R$25:$R$33,$B5,$Q$25:$Q$33)+SUMIF($C$36:$C$44,$B5,$D$36:$D$44)+SUMIF($F$36:$F$44,$B5,$E$36:$E$44)+SUMIF($I$36:$I$44,$B5,$J$36:$J$44)+SUMIF($L$36:$L$44,$B5,$K$36:$K$44)+SUMIF($O$36:$O$44,$B5,$P$36:$P$44)+SUMIF($R$36:$R$44,$B5,$Q$36:$Q$44)+SUMIF($C$47:$C$55,$B3,$D$47:$D$55)+SUMIF($F$47:$F$55,$B3,$E$47:$E$55)</f>
        <v>16</v>
      </c>
      <c r="F5" s="49">
        <f t="shared" ref="F5:F11" si="8">SUMIF($C$14:$C$22,$B5,$E$14:$E$22)+SUMIF($F$14:$F$22,$B5,$D$14:$D$22)+SUMIF($I$14:$I$22,$B5,$K$14:$K$22)+SUMIF($L$14:$L$22,$B5,$J$14:$J$22)+SUMIF($O$14:$O$22,$B5,$Q$14:$Q$22)+SUMIF($R$14:$R$22,$B5,$P$14:$P$22)+SUMIF($C$25:$C$33,$B5,$E$25:$E$33)+SUMIF($F$25:$F$33,$B5,$D$25:$D$33)+SUMIF($I$25:$I$33,$B5,$K$25:$K$33)+SUMIF($L$25:$L$33,$B5,$J$25:$J$33)+SUMIF($O$25:$O$33,$B5,$Q$25:$Q$33)+SUMIF($R$25:$R$33,$B5,$P$25:$P$33)+SUMIF($C$36:$C$44,$B5,$E$36:$E$44)+SUMIF($F$36:$F$44,$B5,$D$36:$D$44)+SUMIF($I$36:$I$44,$B5,$K$36:$K$44)+SUMIF($L$36:$L$44,$B5,$J$36:$J$44)+SUMIF($O$36:$O$44,$B5,$Q$36:$Q$44)+SUMIF($R$36:$R$44,$B5,$P$36:$P$44)+SUMIF($C$47:$C$55,$B5,$E$47:$E$55)+SUMIF($F$47:$F$55,$B5,$D$47:$D$55)</f>
        <v>6</v>
      </c>
      <c r="G5" s="50">
        <f t="shared" si="5"/>
        <v>10</v>
      </c>
      <c r="I5" s="59"/>
      <c r="J5" s="60"/>
      <c r="K5" s="60"/>
      <c r="L5" s="60"/>
      <c r="M5" s="60"/>
      <c r="N5" s="60"/>
      <c r="O5" s="60"/>
      <c r="P5" s="60"/>
      <c r="Q5" s="60"/>
      <c r="R5" s="61"/>
      <c r="BF5" s="25" t="s">
        <v>38</v>
      </c>
      <c r="BG5" s="25">
        <f t="shared" si="2"/>
        <v>2</v>
      </c>
      <c r="BH5" s="25">
        <f t="shared" si="3"/>
        <v>-12</v>
      </c>
      <c r="BI5" s="25">
        <f t="shared" si="0"/>
        <v>0</v>
      </c>
      <c r="BJ5" s="25">
        <f t="shared" si="1"/>
        <v>9</v>
      </c>
      <c r="BL5" s="25"/>
    </row>
    <row r="6" spans="1:67" ht="15.75" x14ac:dyDescent="0.25">
      <c r="A6" s="53">
        <v>4</v>
      </c>
      <c r="B6" s="46" t="str">
        <f t="shared" si="4"/>
        <v>EVOS</v>
      </c>
      <c r="C6" s="51">
        <f t="shared" si="6"/>
        <v>5</v>
      </c>
      <c r="D6" s="51">
        <f t="shared" si="7"/>
        <v>5</v>
      </c>
      <c r="E6" s="51">
        <f t="shared" ref="E6:E8" si="9">SUMIF($C$14:$C$22,$B6,$D$14:$D$22)+SUMIF($F$14:$F$22,$B6,$E$14:$E$22)+SUMIF($I$14:$I$22,$B6,$J$14:$J$22)+SUMIF($L$14:$L$22,$B6,$K$14:$K$22)+SUMIF($O$14:$O$22,$B6,$P$14:$P$22)+SUMIF($R$14:$R$22,$B6,$Q$14:$Q$22)+SUMIF($C$25:$C$33,$B6,$D$25:$D$33)+SUMIF($F$25:$F$33,$B6,$E$25:$E$33)+SUMIF($I$25:$I$33,$B6,$J$25:$J$33)+SUMIF($L$25:$L$33,$B6,$K$25:$K$33)+SUMIF($O$25:$O$33,$B6,$P$25:$P$33)+SUMIF($R$25:$R$33,$B6,$Q$25:$Q$33)+SUMIF($C$36:$C$44,$B6,$D$36:$D$44)+SUMIF($F$36:$F$44,$B6,$E$36:$E$44)+SUMIF($I$36:$I$44,$B6,$J$36:$J$44)+SUMIF($L$36:$L$44,$B6,$K$36:$K$44)+SUMIF($O$36:$O$44,$B6,$P$36:$P$44)+SUMIF($R$36:$R$44,$B6,$Q$36:$Q$44)+SUMIF($C$47:$C$55,$B4,$D$47:$D$55)+SUMIF($F$47:$F$55,$B4,$E$47:$E$55)</f>
        <v>11</v>
      </c>
      <c r="F6" s="51">
        <f t="shared" si="8"/>
        <v>12</v>
      </c>
      <c r="G6" s="52">
        <f t="shared" si="5"/>
        <v>-1</v>
      </c>
      <c r="I6" s="59"/>
      <c r="J6" s="60"/>
      <c r="K6" s="60"/>
      <c r="L6" s="60"/>
      <c r="M6" s="60"/>
      <c r="N6" s="60"/>
      <c r="O6" s="60"/>
      <c r="P6" s="60"/>
      <c r="Q6" s="60"/>
      <c r="R6" s="61"/>
      <c r="BF6" s="25" t="s">
        <v>23</v>
      </c>
      <c r="BG6" s="25">
        <f t="shared" si="2"/>
        <v>8</v>
      </c>
      <c r="BH6" s="25">
        <f t="shared" si="3"/>
        <v>10</v>
      </c>
      <c r="BI6" s="25">
        <f t="shared" si="0"/>
        <v>8</v>
      </c>
      <c r="BJ6" s="25">
        <f t="shared" si="1"/>
        <v>3</v>
      </c>
      <c r="BL6" s="25"/>
    </row>
    <row r="7" spans="1:67" ht="15.75" x14ac:dyDescent="0.25">
      <c r="A7" s="53">
        <v>5</v>
      </c>
      <c r="B7" s="47" t="str">
        <f t="shared" si="4"/>
        <v>BTR by VIT</v>
      </c>
      <c r="C7" s="51">
        <f t="shared" si="6"/>
        <v>5</v>
      </c>
      <c r="D7" s="51">
        <f t="shared" si="7"/>
        <v>5</v>
      </c>
      <c r="E7" s="51">
        <f t="shared" si="9"/>
        <v>11</v>
      </c>
      <c r="F7" s="51">
        <f t="shared" si="8"/>
        <v>13</v>
      </c>
      <c r="G7" s="52">
        <f t="shared" si="5"/>
        <v>-2</v>
      </c>
      <c r="I7" s="59"/>
      <c r="J7" s="60"/>
      <c r="K7" s="60"/>
      <c r="L7" s="60"/>
      <c r="M7" s="60"/>
      <c r="N7" s="60"/>
      <c r="O7" s="60"/>
      <c r="P7" s="60"/>
      <c r="Q7" s="60"/>
      <c r="R7" s="61"/>
      <c r="BF7" s="25" t="s">
        <v>24</v>
      </c>
      <c r="BG7" s="25">
        <f t="shared" si="2"/>
        <v>4</v>
      </c>
      <c r="BH7" s="25">
        <f t="shared" si="3"/>
        <v>-2</v>
      </c>
      <c r="BI7" s="25">
        <f t="shared" si="0"/>
        <v>0</v>
      </c>
      <c r="BJ7" s="25">
        <f t="shared" si="1"/>
        <v>6</v>
      </c>
      <c r="BL7" s="25"/>
    </row>
    <row r="8" spans="1:67" ht="15.75" x14ac:dyDescent="0.25">
      <c r="A8" s="54">
        <v>6</v>
      </c>
      <c r="B8" s="48" t="str">
        <f t="shared" si="4"/>
        <v>ONIC</v>
      </c>
      <c r="C8" s="49">
        <f t="shared" si="6"/>
        <v>4</v>
      </c>
      <c r="D8" s="49">
        <f t="shared" si="7"/>
        <v>7</v>
      </c>
      <c r="E8" s="49">
        <f t="shared" si="9"/>
        <v>12</v>
      </c>
      <c r="F8" s="49">
        <f t="shared" si="8"/>
        <v>14</v>
      </c>
      <c r="G8" s="50">
        <f t="shared" si="5"/>
        <v>-2</v>
      </c>
      <c r="I8" s="59"/>
      <c r="J8" s="60"/>
      <c r="K8" s="60"/>
      <c r="L8" s="60"/>
      <c r="M8" s="60"/>
      <c r="N8" s="60"/>
      <c r="O8" s="60"/>
      <c r="P8" s="60"/>
      <c r="Q8" s="60"/>
      <c r="R8" s="61"/>
      <c r="BF8" s="25" t="s">
        <v>37</v>
      </c>
      <c r="BG8" s="25">
        <f t="shared" si="2"/>
        <v>2</v>
      </c>
      <c r="BH8" s="25">
        <f t="shared" si="3"/>
        <v>-10</v>
      </c>
      <c r="BI8" s="25">
        <f t="shared" si="0"/>
        <v>0</v>
      </c>
      <c r="BJ8" s="25">
        <f t="shared" si="1"/>
        <v>8</v>
      </c>
      <c r="BL8" s="25"/>
    </row>
    <row r="9" spans="1:67" ht="15.75" x14ac:dyDescent="0.25">
      <c r="A9" s="31">
        <v>7</v>
      </c>
      <c r="B9" s="32" t="str">
        <f t="shared" si="4"/>
        <v>DEWA</v>
      </c>
      <c r="C9" s="39">
        <f t="shared" si="6"/>
        <v>4</v>
      </c>
      <c r="D9" s="39">
        <f t="shared" si="7"/>
        <v>6</v>
      </c>
      <c r="E9" s="39">
        <f>SUMIF($C$14:$C$22,$B9,$D$14:$D$22)+SUMIF($F$14:$F$22,$B9,$E$14:$E$22)+SUMIF($I$14:$I$22,$B9,$J$14:$J$22)+SUMIF($L$14:$L$22,$B9,$K$14:$K$22)+SUMIF($O$14:$O$22,$B9,$P$14:$P$22)+SUMIF($R$14:$R$22,$B9,$Q$14:$Q$22)+SUMIF($C$25:$C$33,$B9,$D$25:$D$33)+SUMIF($F$25:$F$33,$B9,$E$25:$E$33)+SUMIF($I$25:$I$33,$B9,$J$25:$J$33)+SUMIF($L$25:$L$33,$B9,$K$25:$K$33)+SUMIF($O$25:$O$33,$B9,$P$25:$P$33)+SUMIF($R$25:$R$33,$B9,$Q$25:$Q$33)+SUMIF($C$36:$C$44,$B9,$D$36:$D$44)+SUMIF($F$36:$F$44,$B9,$E$36:$E$44)+SUMIF($I$36:$I$44,$B9,$J$36:$J$44)+SUMIF($L$36:$L$44,$B9,$K$36:$K$44)+SUMIF($O$36:$O$44,$B9,$P$36:$P$44)+SUMIF($R$36:$R$44,$B9,$Q$36:$Q$44)+SUMIF($C$47:$C$55,$B3,$D$47:$D$55)+SUMIF($F$47:$F$55,$B3,$E$47:$E$55)</f>
        <v>9</v>
      </c>
      <c r="F9" s="41">
        <f t="shared" si="8"/>
        <v>14</v>
      </c>
      <c r="G9" s="33">
        <f t="shared" si="5"/>
        <v>-5</v>
      </c>
      <c r="I9" s="59"/>
      <c r="J9" s="60"/>
      <c r="K9" s="60"/>
      <c r="L9" s="60"/>
      <c r="M9" s="60"/>
      <c r="N9" s="60"/>
      <c r="O9" s="60"/>
      <c r="P9" s="60"/>
      <c r="Q9" s="60"/>
      <c r="R9" s="61"/>
      <c r="BF9" s="25" t="s">
        <v>25</v>
      </c>
      <c r="BG9" s="25">
        <f t="shared" si="2"/>
        <v>9</v>
      </c>
      <c r="BH9" s="25">
        <f t="shared" si="3"/>
        <v>12</v>
      </c>
      <c r="BI9" s="25">
        <f t="shared" si="0"/>
        <v>0</v>
      </c>
      <c r="BJ9" s="25">
        <f t="shared" si="1"/>
        <v>1</v>
      </c>
      <c r="BL9" s="25"/>
    </row>
    <row r="10" spans="1:67" ht="16.5" thickBot="1" x14ac:dyDescent="0.3">
      <c r="A10" s="31">
        <v>8</v>
      </c>
      <c r="B10" s="32" t="str">
        <f t="shared" si="4"/>
        <v>RRQ</v>
      </c>
      <c r="C10" s="39">
        <f t="shared" si="6"/>
        <v>2</v>
      </c>
      <c r="D10" s="39">
        <f t="shared" si="7"/>
        <v>8</v>
      </c>
      <c r="E10" s="39">
        <f t="shared" ref="E10:E11" si="10">SUMIF($C$14:$C$22,$B10,$D$14:$D$22)+SUMIF($F$14:$F$22,$B10,$E$14:$E$22)+SUMIF($I$14:$I$22,$B10,$J$14:$J$22)+SUMIF($L$14:$L$22,$B10,$K$14:$K$22)+SUMIF($O$14:$O$22,$B10,$P$14:$P$22)+SUMIF($R$14:$R$22,$B10,$Q$14:$Q$22)+SUMIF($C$25:$C$33,$B10,$D$25:$D$33)+SUMIF($F$25:$F$33,$B10,$E$25:$E$33)+SUMIF($I$25:$I$33,$B10,$J$25:$J$33)+SUMIF($L$25:$L$33,$B10,$K$25:$K$33)+SUMIF($O$25:$O$33,$B10,$P$25:$P$33)+SUMIF($R$25:$R$33,$B10,$Q$25:$Q$33)+SUMIF($C$36:$C$44,$B10,$D$36:$D$44)+SUMIF($F$36:$F$44,$B10,$E$36:$E$44)+SUMIF($I$36:$I$44,$B10,$J$36:$J$44)+SUMIF($L$36:$L$44,$B10,$K$36:$K$44)+SUMIF($O$36:$O$44,$B10,$P$36:$P$44)+SUMIF($R$36:$R$44,$B10,$Q$36:$Q$44)+SUMIF($C$47:$C$55,$B4,$D$47:$D$55)+SUMIF($F$47:$F$55,$B4,$E$47:$E$55)</f>
        <v>7</v>
      </c>
      <c r="F10" s="41">
        <f t="shared" si="8"/>
        <v>17</v>
      </c>
      <c r="G10" s="33">
        <f t="shared" si="5"/>
        <v>-10</v>
      </c>
      <c r="I10" s="62" t="s">
        <v>35</v>
      </c>
      <c r="J10" s="63"/>
      <c r="K10" s="63"/>
      <c r="L10" s="63"/>
      <c r="M10" s="63"/>
      <c r="N10" s="63"/>
      <c r="O10" s="63"/>
      <c r="P10" s="63"/>
      <c r="Q10" s="63"/>
      <c r="R10" s="64"/>
    </row>
    <row r="11" spans="1:67" ht="16.5" thickBot="1" x14ac:dyDescent="0.3">
      <c r="A11" s="34">
        <v>9</v>
      </c>
      <c r="B11" s="35" t="str">
        <f t="shared" si="4"/>
        <v>GEEK</v>
      </c>
      <c r="C11" s="40">
        <f t="shared" si="6"/>
        <v>2</v>
      </c>
      <c r="D11" s="40">
        <f t="shared" si="7"/>
        <v>9</v>
      </c>
      <c r="E11" s="40">
        <f t="shared" si="10"/>
        <v>7</v>
      </c>
      <c r="F11" s="42">
        <f t="shared" si="8"/>
        <v>19</v>
      </c>
      <c r="G11" s="36">
        <f t="shared" si="5"/>
        <v>-12</v>
      </c>
    </row>
    <row r="12" spans="1:67" x14ac:dyDescent="0.25">
      <c r="BG12" t="s">
        <v>20</v>
      </c>
      <c r="BH12" t="s">
        <v>21</v>
      </c>
      <c r="BI12" t="s">
        <v>36</v>
      </c>
      <c r="BJ12" t="s">
        <v>22</v>
      </c>
      <c r="BK12" t="s">
        <v>38</v>
      </c>
      <c r="BL12" t="s">
        <v>23</v>
      </c>
      <c r="BM12" t="s">
        <v>24</v>
      </c>
      <c r="BN12" t="s">
        <v>37</v>
      </c>
      <c r="BO12" t="s">
        <v>25</v>
      </c>
    </row>
    <row r="13" spans="1:67" ht="16.5" thickBot="1" x14ac:dyDescent="0.3">
      <c r="B13" s="65" t="s">
        <v>0</v>
      </c>
      <c r="C13" s="66"/>
      <c r="D13" s="66"/>
      <c r="E13" s="66"/>
      <c r="F13" s="67"/>
      <c r="H13" s="65" t="s">
        <v>4</v>
      </c>
      <c r="I13" s="66"/>
      <c r="J13" s="66"/>
      <c r="K13" s="66"/>
      <c r="L13" s="67"/>
      <c r="N13" s="65" t="s">
        <v>5</v>
      </c>
      <c r="O13" s="66"/>
      <c r="P13" s="66"/>
      <c r="Q13" s="66"/>
      <c r="R13" s="67"/>
      <c r="BF13" s="25" t="s">
        <v>20</v>
      </c>
      <c r="BG13">
        <f>SUMPRODUCT(($C$14:$C$22=$BF13)*($F$14:$F$22=BG$12)*($D$14:$D$22&gt;$E$14:$E$22))+SUMPRODUCT(($F$14:$F$22=$BF13)*($C$14:$C$22=BG$12)*($E$14:$E$22&gt;$D$14:$D$22))+SUMPRODUCT(($I$14:$I$22=$BF13)*($L$14:$L$22=BG$12)*($J$14:$J$22&gt;$K$14:$K$22))+SUMPRODUCT(($L$14:$L$22=$BF13)*($I$14:$I$22=BG$12)*($K$14:$K$22&gt;$J$14:$J$22))+SUMPRODUCT(($O$14:$O$22=$BF13)*($R$14:$R$22=BG$12)*($P$14:$P$22&gt;$Q$14:$Q$22))+SUMPRODUCT(($R$14:$R$22=$BF13)*($O$14:$O$22=BG$12)*($Q$14:$Q$22&gt;$P$14:$P$22))+SUMPRODUCT(($C$25:$C$33=$BF13)*($F$25:$F$33=BG$12)*($D$25:$D$33&gt;$E$25:$E$33))+SUMPRODUCT(($F$25:$F$33=$BF13)*($C$25:$C$33=BG$12)*($E$25:$E$33&gt;$D$25:$D$33))+SUMPRODUCT(($I$25:$I$33=$BF13)*($L$25:$L$33=BG$12)*($J$25:$J$33&gt;$K$25:$K$33))+SUMPRODUCT(($L$25:$L$33=$BF13)*($I$25:$I$33=BG$12)*($K$25:$K$33&gt;$J$25:$J$33))+SUMPRODUCT(($O$25:$O$33=$BF13)*($R$25:$R$33=BG$12)*($P$25:$P$33&gt;$Q$25:$Q$33))+SUMPRODUCT(($R$25:$R$33=$BF13)*($O$25:$O$33=BG$12)*($Q$25:$Q$33&gt;$P$25:$P$33))+SUMPRODUCT(($C$37:$C$45=$BF13)*($F$37:$F$45=BG$12)*($D$37:$D$45&gt;$E$37:$E$45))+SUMPRODUCT(($F$37:$F$45=$BF13)*($C$37:$C$45=BG$12)*($E$37:$E$45&gt;$D$37:$D$45))+SUMPRODUCT(($I$37:$I$45=$BF13)*($L$37:$L$45=BG$12)*($J$37:$J$45&gt;$K$37:$K$45))+SUMPRODUCT(($L$37:$L$45=$BF13)*($I$37:$I$45=BG$12)*($K$37:$K$45&gt;$J$37:$J$45))+SUMPRODUCT(($O$37:$O$45=$BF13)*($R$37:$R$45=BG$12)*($P$37:$P$45&gt;$Q$37:$Q$45))+SUMPRODUCT(($R$37:$R$45=$BF13)*($O$37:$O$45=BG$12)*($Q$37:$Q$45&gt;$P$37:$P$45))</f>
        <v>0</v>
      </c>
      <c r="BH13">
        <f t="shared" ref="BH13:BO21" si="11">SUMPRODUCT(($C$14:$C$22=$BF13)*($F$14:$F$22=BH$12)*($D$14:$D$22&gt;$E$14:$E$22))+SUMPRODUCT(($F$14:$F$22=$BF13)*($C$14:$C$22=BH$12)*($E$14:$E$22&gt;$D$14:$D$22))+SUMPRODUCT(($I$14:$I$22=$BF13)*($L$14:$L$22=BH$12)*($J$14:$J$22&gt;$K$14:$K$22))+SUMPRODUCT(($L$14:$L$22=$BF13)*($I$14:$I$22=BH$12)*($K$14:$K$22&gt;$J$14:$J$22))+SUMPRODUCT(($O$14:$O$22=$BF13)*($R$14:$R$22=BH$12)*($P$14:$P$22&gt;$Q$14:$Q$22))+SUMPRODUCT(($R$14:$R$22=$BF13)*($O$14:$O$22=BH$12)*($Q$14:$Q$22&gt;$P$14:$P$22))+SUMPRODUCT(($C$25:$C$33=$BF13)*($F$25:$F$33=BH$12)*($D$25:$D$33&gt;$E$25:$E$33))+SUMPRODUCT(($F$25:$F$33=$BF13)*($C$25:$C$33=BH$12)*($E$25:$E$33&gt;$D$25:$D$33))+SUMPRODUCT(($I$25:$I$33=$BF13)*($L$25:$L$33=BH$12)*($J$25:$J$33&gt;$K$25:$K$33))+SUMPRODUCT(($L$25:$L$33=$BF13)*($I$25:$I$33=BH$12)*($K$25:$K$33&gt;$J$25:$J$33))+SUMPRODUCT(($O$25:$O$33=$BF13)*($R$25:$R$33=BH$12)*($P$25:$P$33&gt;$Q$25:$Q$33))+SUMPRODUCT(($R$25:$R$33=$BF13)*($O$25:$O$33=BH$12)*($Q$25:$Q$33&gt;$P$25:$P$33))+SUMPRODUCT(($C$37:$C$45=$BF13)*($F$37:$F$45=BH$12)*($D$37:$D$45&gt;$E$37:$E$45))+SUMPRODUCT(($F$37:$F$45=$BF13)*($C$37:$C$45=BH$12)*($E$37:$E$45&gt;$D$37:$D$45))+SUMPRODUCT(($I$37:$I$45=$BF13)*($L$37:$L$45=BH$12)*($J$37:$J$45&gt;$K$37:$K$45))+SUMPRODUCT(($L$37:$L$45=$BF13)*($I$37:$I$45=BH$12)*($K$37:$K$45&gt;$J$37:$J$45))+SUMPRODUCT(($O$37:$O$45=$BF13)*($R$37:$R$45=BH$12)*($P$37:$P$45&gt;$Q$37:$Q$45))+SUMPRODUCT(($R$37:$R$45=$BF13)*($O$37:$O$45=BH$12)*($Q$37:$Q$45&gt;$P$37:$P$45))</f>
        <v>1</v>
      </c>
      <c r="BI13">
        <f t="shared" si="11"/>
        <v>1</v>
      </c>
      <c r="BJ13">
        <f t="shared" si="11"/>
        <v>1</v>
      </c>
      <c r="BK13">
        <f t="shared" si="11"/>
        <v>1</v>
      </c>
      <c r="BL13">
        <f t="shared" si="11"/>
        <v>1</v>
      </c>
      <c r="BM13">
        <f t="shared" si="11"/>
        <v>1</v>
      </c>
      <c r="BN13">
        <f t="shared" si="11"/>
        <v>2</v>
      </c>
      <c r="BO13">
        <f t="shared" si="11"/>
        <v>0</v>
      </c>
    </row>
    <row r="14" spans="1:67" ht="15.75" x14ac:dyDescent="0.25">
      <c r="B14" s="22" t="s">
        <v>1</v>
      </c>
      <c r="C14" s="23" t="s">
        <v>22</v>
      </c>
      <c r="D14" s="23">
        <v>2</v>
      </c>
      <c r="E14" s="23">
        <v>0</v>
      </c>
      <c r="F14" s="24" t="s">
        <v>37</v>
      </c>
      <c r="H14" s="22" t="s">
        <v>1</v>
      </c>
      <c r="I14" s="23" t="s">
        <v>25</v>
      </c>
      <c r="J14" s="23">
        <v>0</v>
      </c>
      <c r="K14" s="23">
        <v>2</v>
      </c>
      <c r="L14" s="24" t="s">
        <v>23</v>
      </c>
      <c r="N14" s="22" t="s">
        <v>1</v>
      </c>
      <c r="O14" s="23" t="s">
        <v>21</v>
      </c>
      <c r="P14" s="23">
        <v>2</v>
      </c>
      <c r="Q14" s="23">
        <v>0</v>
      </c>
      <c r="R14" s="24" t="s">
        <v>23</v>
      </c>
      <c r="BF14" s="25" t="s">
        <v>21</v>
      </c>
      <c r="BG14">
        <f t="shared" ref="BG14:BG21" si="12">SUMPRODUCT(($C$14:$C$22=$BF14)*($F$14:$F$22=BG$12)*($D$14:$D$22&gt;$E$14:$E$22))+SUMPRODUCT(($F$14:$F$22=$BF14)*($C$14:$C$22=BG$12)*($E$14:$E$22&gt;$D$14:$D$22))+SUMPRODUCT(($I$14:$I$22=$BF14)*($L$14:$L$22=BG$12)*($J$14:$J$22&gt;$K$14:$K$22))+SUMPRODUCT(($L$14:$L$22=$BF14)*($I$14:$I$22=BG$12)*($K$14:$K$22&gt;$J$14:$J$22))+SUMPRODUCT(($O$14:$O$22=$BF14)*($R$14:$R$22=BG$12)*($P$14:$P$22&gt;$Q$14:$Q$22))+SUMPRODUCT(($R$14:$R$22=$BF14)*($O$14:$O$22=BG$12)*($Q$14:$Q$22&gt;$P$14:$P$22))+SUMPRODUCT(($C$25:$C$33=$BF14)*($F$25:$F$33=BG$12)*($D$25:$D$33&gt;$E$25:$E$33))+SUMPRODUCT(($F$25:$F$33=$BF14)*($C$25:$C$33=BG$12)*($E$25:$E$33&gt;$D$25:$D$33))+SUMPRODUCT(($I$25:$I$33=$BF14)*($L$25:$L$33=BG$12)*($J$25:$J$33&gt;$K$25:$K$33))+SUMPRODUCT(($L$25:$L$33=$BF14)*($I$25:$I$33=BG$12)*($K$25:$K$33&gt;$J$25:$J$33))+SUMPRODUCT(($O$25:$O$33=$BF14)*($R$25:$R$33=BG$12)*($P$25:$P$33&gt;$Q$25:$Q$33))+SUMPRODUCT(($R$25:$R$33=$BF14)*($O$25:$O$33=BG$12)*($Q$25:$Q$33&gt;$P$25:$P$33))+SUMPRODUCT(($C$37:$C$45=$BF14)*($F$37:$F$45=BG$12)*($D$37:$D$45&gt;$E$37:$E$45))+SUMPRODUCT(($F$37:$F$45=$BF14)*($C$37:$C$45=BG$12)*($E$37:$E$45&gt;$D$37:$D$45))+SUMPRODUCT(($I$37:$I$45=$BF14)*($L$37:$L$45=BG$12)*($J$37:$J$45&gt;$K$37:$K$45))+SUMPRODUCT(($L$37:$L$45=$BF14)*($I$37:$I$45=BG$12)*($K$37:$K$45&gt;$J$37:$J$45))+SUMPRODUCT(($O$37:$O$45=$BF14)*($R$37:$R$45=BG$12)*($P$37:$P$45&gt;$Q$37:$Q$45))+SUMPRODUCT(($R$37:$R$45=$BF14)*($O$37:$O$45=BG$12)*($Q$37:$Q$45&gt;$P$37:$P$45))</f>
        <v>0</v>
      </c>
      <c r="BH14">
        <f t="shared" si="11"/>
        <v>0</v>
      </c>
      <c r="BI14">
        <f t="shared" si="11"/>
        <v>1</v>
      </c>
      <c r="BJ14">
        <f t="shared" si="11"/>
        <v>0</v>
      </c>
      <c r="BK14">
        <f t="shared" si="11"/>
        <v>1</v>
      </c>
      <c r="BL14">
        <f t="shared" si="11"/>
        <v>1</v>
      </c>
      <c r="BM14">
        <f t="shared" si="11"/>
        <v>1</v>
      </c>
      <c r="BN14">
        <f t="shared" si="11"/>
        <v>1</v>
      </c>
      <c r="BO14">
        <f t="shared" si="11"/>
        <v>0</v>
      </c>
    </row>
    <row r="15" spans="1:67" ht="15.75" x14ac:dyDescent="0.25">
      <c r="B15" s="2"/>
      <c r="C15" s="1" t="s">
        <v>23</v>
      </c>
      <c r="D15" s="1">
        <v>0</v>
      </c>
      <c r="E15" s="1">
        <v>2</v>
      </c>
      <c r="F15" s="3" t="s">
        <v>20</v>
      </c>
      <c r="H15" s="2"/>
      <c r="I15" s="1" t="s">
        <v>21</v>
      </c>
      <c r="J15" s="1">
        <v>2</v>
      </c>
      <c r="K15" s="1">
        <v>0</v>
      </c>
      <c r="L15" s="3" t="s">
        <v>36</v>
      </c>
      <c r="N15" s="2"/>
      <c r="O15" s="1" t="s">
        <v>36</v>
      </c>
      <c r="P15" s="1">
        <v>2</v>
      </c>
      <c r="Q15" s="1">
        <v>0</v>
      </c>
      <c r="R15" s="3" t="s">
        <v>38</v>
      </c>
      <c r="BF15" s="25" t="s">
        <v>36</v>
      </c>
      <c r="BG15">
        <f t="shared" si="12"/>
        <v>1</v>
      </c>
      <c r="BH15">
        <f t="shared" si="11"/>
        <v>0</v>
      </c>
      <c r="BI15">
        <f t="shared" si="11"/>
        <v>0</v>
      </c>
      <c r="BJ15">
        <f t="shared" si="11"/>
        <v>0</v>
      </c>
      <c r="BK15">
        <f t="shared" si="11"/>
        <v>1</v>
      </c>
      <c r="BL15">
        <f t="shared" si="11"/>
        <v>0</v>
      </c>
      <c r="BM15">
        <f t="shared" si="11"/>
        <v>1</v>
      </c>
      <c r="BN15">
        <f t="shared" si="11"/>
        <v>1</v>
      </c>
      <c r="BO15">
        <f t="shared" si="11"/>
        <v>0</v>
      </c>
    </row>
    <row r="16" spans="1:67" ht="16.5" thickBot="1" x14ac:dyDescent="0.3">
      <c r="B16" s="4"/>
      <c r="C16" s="5"/>
      <c r="D16" s="5"/>
      <c r="E16" s="5"/>
      <c r="F16" s="6"/>
      <c r="H16" s="4"/>
      <c r="I16" s="5"/>
      <c r="J16" s="5"/>
      <c r="K16" s="5"/>
      <c r="L16" s="6"/>
      <c r="N16" s="4"/>
      <c r="O16" s="5"/>
      <c r="P16" s="5"/>
      <c r="Q16" s="5"/>
      <c r="R16" s="6"/>
      <c r="BF16" s="25" t="s">
        <v>22</v>
      </c>
      <c r="BG16">
        <f t="shared" si="12"/>
        <v>0</v>
      </c>
      <c r="BH16">
        <f t="shared" si="11"/>
        <v>1</v>
      </c>
      <c r="BI16">
        <f t="shared" si="11"/>
        <v>1</v>
      </c>
      <c r="BJ16">
        <f t="shared" si="11"/>
        <v>0</v>
      </c>
      <c r="BK16">
        <f t="shared" si="11"/>
        <v>1</v>
      </c>
      <c r="BL16">
        <f t="shared" si="11"/>
        <v>0</v>
      </c>
      <c r="BM16">
        <f t="shared" si="11"/>
        <v>0</v>
      </c>
      <c r="BN16">
        <f t="shared" si="11"/>
        <v>1</v>
      </c>
      <c r="BO16">
        <f t="shared" si="11"/>
        <v>1</v>
      </c>
    </row>
    <row r="17" spans="2:67" ht="15.75" x14ac:dyDescent="0.25">
      <c r="B17" s="22" t="s">
        <v>2</v>
      </c>
      <c r="C17" s="23" t="s">
        <v>25</v>
      </c>
      <c r="D17" s="23">
        <v>2</v>
      </c>
      <c r="E17" s="23">
        <v>1</v>
      </c>
      <c r="F17" s="24" t="s">
        <v>38</v>
      </c>
      <c r="H17" s="22" t="s">
        <v>2</v>
      </c>
      <c r="I17" s="23" t="s">
        <v>25</v>
      </c>
      <c r="J17" s="23">
        <v>2</v>
      </c>
      <c r="K17" s="23">
        <v>0</v>
      </c>
      <c r="L17" s="24" t="s">
        <v>22</v>
      </c>
      <c r="N17" s="22" t="s">
        <v>2</v>
      </c>
      <c r="O17" s="23" t="s">
        <v>25</v>
      </c>
      <c r="P17" s="23">
        <v>2</v>
      </c>
      <c r="Q17" s="23">
        <v>1</v>
      </c>
      <c r="R17" s="24" t="s">
        <v>24</v>
      </c>
      <c r="BF17" s="25" t="s">
        <v>38</v>
      </c>
      <c r="BG17">
        <f t="shared" si="12"/>
        <v>0</v>
      </c>
      <c r="BH17">
        <f t="shared" si="11"/>
        <v>0</v>
      </c>
      <c r="BI17">
        <f t="shared" si="11"/>
        <v>0</v>
      </c>
      <c r="BJ17">
        <f t="shared" si="11"/>
        <v>0</v>
      </c>
      <c r="BK17">
        <f t="shared" si="11"/>
        <v>0</v>
      </c>
      <c r="BL17">
        <f t="shared" si="11"/>
        <v>0</v>
      </c>
      <c r="BM17">
        <f t="shared" si="11"/>
        <v>2</v>
      </c>
      <c r="BN17">
        <f t="shared" si="11"/>
        <v>0</v>
      </c>
      <c r="BO17">
        <f t="shared" si="11"/>
        <v>0</v>
      </c>
    </row>
    <row r="18" spans="2:67" ht="15.75" x14ac:dyDescent="0.25">
      <c r="B18" s="2"/>
      <c r="C18" s="1" t="s">
        <v>36</v>
      </c>
      <c r="D18" s="1">
        <v>1</v>
      </c>
      <c r="E18" s="1">
        <v>2</v>
      </c>
      <c r="F18" s="3" t="s">
        <v>37</v>
      </c>
      <c r="H18" s="2"/>
      <c r="I18" s="1" t="s">
        <v>23</v>
      </c>
      <c r="J18" s="1">
        <v>2</v>
      </c>
      <c r="K18" s="1">
        <v>1</v>
      </c>
      <c r="L18" s="3" t="s">
        <v>38</v>
      </c>
      <c r="N18" s="2"/>
      <c r="O18" s="1" t="s">
        <v>20</v>
      </c>
      <c r="P18" s="1">
        <v>2</v>
      </c>
      <c r="Q18" s="1">
        <v>0</v>
      </c>
      <c r="R18" s="3" t="s">
        <v>22</v>
      </c>
      <c r="BF18" s="25" t="s">
        <v>23</v>
      </c>
      <c r="BG18">
        <f t="shared" si="12"/>
        <v>0</v>
      </c>
      <c r="BH18">
        <f t="shared" si="11"/>
        <v>0</v>
      </c>
      <c r="BI18">
        <f t="shared" si="11"/>
        <v>1</v>
      </c>
      <c r="BJ18">
        <f t="shared" si="11"/>
        <v>2</v>
      </c>
      <c r="BK18">
        <f t="shared" si="11"/>
        <v>2</v>
      </c>
      <c r="BL18">
        <f t="shared" si="11"/>
        <v>0</v>
      </c>
      <c r="BM18">
        <f t="shared" si="11"/>
        <v>1</v>
      </c>
      <c r="BN18">
        <f t="shared" si="11"/>
        <v>1</v>
      </c>
      <c r="BO18">
        <f t="shared" si="11"/>
        <v>1</v>
      </c>
    </row>
    <row r="19" spans="2:67" ht="16.5" thickBot="1" x14ac:dyDescent="0.3">
      <c r="B19" s="4"/>
      <c r="C19" s="5" t="s">
        <v>22</v>
      </c>
      <c r="D19" s="5">
        <v>1</v>
      </c>
      <c r="E19" s="5">
        <v>2</v>
      </c>
      <c r="F19" s="6" t="s">
        <v>23</v>
      </c>
      <c r="H19" s="4"/>
      <c r="I19" s="5" t="s">
        <v>24</v>
      </c>
      <c r="J19" s="5">
        <v>2</v>
      </c>
      <c r="K19" s="5">
        <v>0</v>
      </c>
      <c r="L19" s="6" t="s">
        <v>37</v>
      </c>
      <c r="N19" s="4"/>
      <c r="O19" s="5" t="s">
        <v>37</v>
      </c>
      <c r="P19" s="5">
        <v>1</v>
      </c>
      <c r="Q19" s="5">
        <v>2</v>
      </c>
      <c r="R19" s="6" t="s">
        <v>21</v>
      </c>
      <c r="BF19" s="25" t="s">
        <v>24</v>
      </c>
      <c r="BG19">
        <f t="shared" si="12"/>
        <v>1</v>
      </c>
      <c r="BH19">
        <f t="shared" si="11"/>
        <v>1</v>
      </c>
      <c r="BI19">
        <f t="shared" si="11"/>
        <v>0</v>
      </c>
      <c r="BJ19">
        <f t="shared" si="11"/>
        <v>1</v>
      </c>
      <c r="BK19">
        <f t="shared" si="11"/>
        <v>0</v>
      </c>
      <c r="BL19">
        <f t="shared" si="11"/>
        <v>0</v>
      </c>
      <c r="BM19">
        <f t="shared" si="11"/>
        <v>0</v>
      </c>
      <c r="BN19">
        <f t="shared" si="11"/>
        <v>1</v>
      </c>
      <c r="BO19">
        <f t="shared" si="11"/>
        <v>0</v>
      </c>
    </row>
    <row r="20" spans="2:67" ht="15.75" x14ac:dyDescent="0.25">
      <c r="B20" s="22" t="s">
        <v>3</v>
      </c>
      <c r="C20" s="23" t="s">
        <v>25</v>
      </c>
      <c r="D20" s="23">
        <v>2</v>
      </c>
      <c r="E20" s="23">
        <v>0</v>
      </c>
      <c r="F20" s="24" t="s">
        <v>36</v>
      </c>
      <c r="H20" s="22" t="s">
        <v>3</v>
      </c>
      <c r="I20" s="23" t="s">
        <v>36</v>
      </c>
      <c r="J20" s="23">
        <v>0</v>
      </c>
      <c r="K20" s="23">
        <v>2</v>
      </c>
      <c r="L20" s="24" t="s">
        <v>20</v>
      </c>
      <c r="N20" s="22" t="s">
        <v>3</v>
      </c>
      <c r="O20" s="23" t="s">
        <v>23</v>
      </c>
      <c r="P20" s="23">
        <v>2</v>
      </c>
      <c r="Q20" s="23">
        <v>0</v>
      </c>
      <c r="R20" s="24" t="s">
        <v>24</v>
      </c>
      <c r="BF20" s="25" t="s">
        <v>37</v>
      </c>
      <c r="BG20">
        <f t="shared" si="12"/>
        <v>0</v>
      </c>
      <c r="BH20">
        <f t="shared" si="11"/>
        <v>0</v>
      </c>
      <c r="BI20">
        <f t="shared" si="11"/>
        <v>1</v>
      </c>
      <c r="BJ20">
        <f t="shared" si="11"/>
        <v>0</v>
      </c>
      <c r="BK20">
        <f t="shared" si="11"/>
        <v>1</v>
      </c>
      <c r="BL20">
        <f t="shared" si="11"/>
        <v>0</v>
      </c>
      <c r="BM20">
        <f t="shared" si="11"/>
        <v>0</v>
      </c>
      <c r="BN20">
        <f t="shared" si="11"/>
        <v>0</v>
      </c>
      <c r="BO20">
        <f t="shared" si="11"/>
        <v>0</v>
      </c>
    </row>
    <row r="21" spans="2:67" ht="15.75" x14ac:dyDescent="0.25">
      <c r="B21" s="2"/>
      <c r="C21" s="1" t="s">
        <v>21</v>
      </c>
      <c r="D21" s="1">
        <v>2</v>
      </c>
      <c r="E21" s="1">
        <v>1</v>
      </c>
      <c r="F21" s="3" t="s">
        <v>38</v>
      </c>
      <c r="H21" s="2"/>
      <c r="I21" s="1" t="s">
        <v>24</v>
      </c>
      <c r="J21" s="1">
        <v>1</v>
      </c>
      <c r="K21" s="1">
        <v>2</v>
      </c>
      <c r="L21" s="3" t="s">
        <v>21</v>
      </c>
      <c r="N21" s="2"/>
      <c r="O21" s="1" t="s">
        <v>38</v>
      </c>
      <c r="P21" s="1">
        <v>0</v>
      </c>
      <c r="Q21" s="1">
        <v>2</v>
      </c>
      <c r="R21" s="3" t="s">
        <v>37</v>
      </c>
      <c r="BF21" s="25" t="s">
        <v>25</v>
      </c>
      <c r="BG21">
        <f t="shared" si="12"/>
        <v>1</v>
      </c>
      <c r="BH21">
        <f t="shared" si="11"/>
        <v>2</v>
      </c>
      <c r="BI21">
        <f t="shared" si="11"/>
        <v>1</v>
      </c>
      <c r="BJ21">
        <f t="shared" si="11"/>
        <v>1</v>
      </c>
      <c r="BK21">
        <f t="shared" si="11"/>
        <v>2</v>
      </c>
      <c r="BL21">
        <f t="shared" si="11"/>
        <v>0</v>
      </c>
      <c r="BM21">
        <f t="shared" si="11"/>
        <v>1</v>
      </c>
      <c r="BN21">
        <f t="shared" si="11"/>
        <v>1</v>
      </c>
      <c r="BO21">
        <f t="shared" si="11"/>
        <v>0</v>
      </c>
    </row>
    <row r="22" spans="2:67" ht="15.75" thickBot="1" x14ac:dyDescent="0.3">
      <c r="B22" s="4"/>
      <c r="C22" s="5" t="s">
        <v>20</v>
      </c>
      <c r="D22" s="5">
        <v>0</v>
      </c>
      <c r="E22" s="5">
        <v>2</v>
      </c>
      <c r="F22" s="6" t="s">
        <v>24</v>
      </c>
      <c r="H22" s="4"/>
      <c r="I22" s="5" t="s">
        <v>38</v>
      </c>
      <c r="J22" s="5">
        <v>0</v>
      </c>
      <c r="K22" s="5">
        <v>2</v>
      </c>
      <c r="L22" s="6" t="s">
        <v>22</v>
      </c>
      <c r="N22" s="4"/>
      <c r="O22" s="5" t="s">
        <v>25</v>
      </c>
      <c r="P22" s="5">
        <v>2</v>
      </c>
      <c r="Q22" s="5">
        <v>1</v>
      </c>
      <c r="R22" s="6" t="s">
        <v>20</v>
      </c>
    </row>
    <row r="24" spans="2:67" ht="15.75" thickBot="1" x14ac:dyDescent="0.3">
      <c r="B24" s="65" t="s">
        <v>6</v>
      </c>
      <c r="C24" s="66"/>
      <c r="D24" s="66"/>
      <c r="E24" s="66"/>
      <c r="F24" s="67"/>
      <c r="H24" s="65" t="s">
        <v>7</v>
      </c>
      <c r="I24" s="66"/>
      <c r="J24" s="66"/>
      <c r="K24" s="66"/>
      <c r="L24" s="67"/>
      <c r="N24" s="65" t="s">
        <v>8</v>
      </c>
      <c r="O24" s="66"/>
      <c r="P24" s="66"/>
      <c r="Q24" s="66"/>
      <c r="R24" s="67"/>
    </row>
    <row r="25" spans="2:67" x14ac:dyDescent="0.25">
      <c r="B25" s="22" t="s">
        <v>1</v>
      </c>
      <c r="C25" s="23" t="s">
        <v>23</v>
      </c>
      <c r="D25" s="23">
        <v>2</v>
      </c>
      <c r="E25" s="23">
        <v>0</v>
      </c>
      <c r="F25" s="24" t="s">
        <v>36</v>
      </c>
      <c r="H25" s="22" t="s">
        <v>1</v>
      </c>
      <c r="I25" s="23" t="s">
        <v>38</v>
      </c>
      <c r="J25" s="23">
        <v>2</v>
      </c>
      <c r="K25" s="23">
        <v>1</v>
      </c>
      <c r="L25" s="24" t="s">
        <v>24</v>
      </c>
      <c r="N25" s="22" t="s">
        <v>1</v>
      </c>
      <c r="O25" s="23" t="s">
        <v>24</v>
      </c>
      <c r="P25" s="23">
        <v>0</v>
      </c>
      <c r="Q25" s="23">
        <v>2</v>
      </c>
      <c r="R25" s="24" t="s">
        <v>38</v>
      </c>
    </row>
    <row r="26" spans="2:67" x14ac:dyDescent="0.25">
      <c r="B26" s="2"/>
      <c r="C26" s="1" t="s">
        <v>25</v>
      </c>
      <c r="D26" s="1">
        <v>2</v>
      </c>
      <c r="E26" s="1">
        <v>0</v>
      </c>
      <c r="F26" s="3" t="s">
        <v>37</v>
      </c>
      <c r="H26" s="2"/>
      <c r="I26" s="1" t="s">
        <v>22</v>
      </c>
      <c r="J26" s="1"/>
      <c r="K26" s="1"/>
      <c r="L26" s="3" t="s">
        <v>36</v>
      </c>
      <c r="N26" s="2"/>
      <c r="O26" s="1" t="s">
        <v>36</v>
      </c>
      <c r="P26" s="1">
        <v>0</v>
      </c>
      <c r="Q26" s="1">
        <v>2</v>
      </c>
      <c r="R26" s="3" t="s">
        <v>22</v>
      </c>
    </row>
    <row r="27" spans="2:67" ht="15.75" thickBot="1" x14ac:dyDescent="0.3">
      <c r="B27" s="4"/>
      <c r="C27" s="5"/>
      <c r="D27" s="5"/>
      <c r="E27" s="5"/>
      <c r="F27" s="6"/>
      <c r="H27" s="4"/>
      <c r="I27" s="5"/>
      <c r="J27" s="5"/>
      <c r="K27" s="5"/>
      <c r="L27" s="6"/>
      <c r="N27" s="4"/>
      <c r="O27" s="5"/>
      <c r="P27" s="5"/>
      <c r="Q27" s="5"/>
      <c r="R27" s="6"/>
    </row>
    <row r="28" spans="2:67" x14ac:dyDescent="0.25">
      <c r="B28" s="22" t="s">
        <v>2</v>
      </c>
      <c r="C28" s="23" t="s">
        <v>36</v>
      </c>
      <c r="D28" s="23">
        <v>2</v>
      </c>
      <c r="E28" s="23">
        <v>1</v>
      </c>
      <c r="F28" s="24" t="s">
        <v>24</v>
      </c>
      <c r="H28" s="22" t="s">
        <v>2</v>
      </c>
      <c r="I28" s="23" t="s">
        <v>25</v>
      </c>
      <c r="J28" s="23">
        <v>2</v>
      </c>
      <c r="K28" s="23">
        <v>0</v>
      </c>
      <c r="L28" s="24" t="s">
        <v>21</v>
      </c>
      <c r="N28" s="22" t="s">
        <v>2</v>
      </c>
      <c r="O28" s="23" t="s">
        <v>38</v>
      </c>
      <c r="P28" s="23">
        <v>0</v>
      </c>
      <c r="Q28" s="23">
        <v>2</v>
      </c>
      <c r="R28" s="24" t="s">
        <v>23</v>
      </c>
    </row>
    <row r="29" spans="2:67" x14ac:dyDescent="0.25">
      <c r="B29" s="2"/>
      <c r="C29" s="1" t="s">
        <v>22</v>
      </c>
      <c r="D29" s="1">
        <v>2</v>
      </c>
      <c r="E29" s="1">
        <v>1</v>
      </c>
      <c r="F29" s="3" t="s">
        <v>21</v>
      </c>
      <c r="H29" s="2"/>
      <c r="I29" s="1" t="s">
        <v>20</v>
      </c>
      <c r="J29" s="1">
        <v>2</v>
      </c>
      <c r="K29" s="1">
        <v>0</v>
      </c>
      <c r="L29" s="3" t="s">
        <v>37</v>
      </c>
      <c r="N29" s="2"/>
      <c r="O29" s="1" t="s">
        <v>37</v>
      </c>
      <c r="P29" s="1">
        <v>1</v>
      </c>
      <c r="Q29" s="1">
        <v>2</v>
      </c>
      <c r="R29" s="3" t="s">
        <v>20</v>
      </c>
    </row>
    <row r="30" spans="2:67" ht="15.75" thickBot="1" x14ac:dyDescent="0.3">
      <c r="B30" s="4"/>
      <c r="C30" s="5" t="s">
        <v>20</v>
      </c>
      <c r="D30" s="5">
        <v>2</v>
      </c>
      <c r="E30" s="5">
        <v>0</v>
      </c>
      <c r="F30" s="6" t="s">
        <v>38</v>
      </c>
      <c r="H30" s="4"/>
      <c r="I30" s="5" t="s">
        <v>23</v>
      </c>
      <c r="J30" s="5">
        <v>2</v>
      </c>
      <c r="K30" s="5">
        <v>0</v>
      </c>
      <c r="L30" s="6" t="s">
        <v>22</v>
      </c>
      <c r="N30" s="4"/>
      <c r="O30" s="5" t="s">
        <v>21</v>
      </c>
      <c r="P30" s="5">
        <v>0</v>
      </c>
      <c r="Q30" s="5">
        <v>2</v>
      </c>
      <c r="R30" s="6" t="s">
        <v>25</v>
      </c>
    </row>
    <row r="31" spans="2:67" x14ac:dyDescent="0.25">
      <c r="B31" s="22" t="s">
        <v>3</v>
      </c>
      <c r="C31" s="23" t="s">
        <v>37</v>
      </c>
      <c r="D31" s="23">
        <v>0</v>
      </c>
      <c r="E31" s="23">
        <v>2</v>
      </c>
      <c r="F31" s="24" t="s">
        <v>23</v>
      </c>
      <c r="H31" s="22" t="s">
        <v>3</v>
      </c>
      <c r="I31" s="23" t="s">
        <v>38</v>
      </c>
      <c r="J31" s="23">
        <v>0</v>
      </c>
      <c r="K31" s="23">
        <v>2</v>
      </c>
      <c r="L31" s="24" t="s">
        <v>25</v>
      </c>
      <c r="N31" s="22" t="s">
        <v>3</v>
      </c>
      <c r="O31" s="23" t="s">
        <v>20</v>
      </c>
      <c r="P31" s="23">
        <v>0</v>
      </c>
      <c r="Q31" s="23">
        <v>2</v>
      </c>
      <c r="R31" s="24" t="s">
        <v>36</v>
      </c>
    </row>
    <row r="32" spans="2:67" x14ac:dyDescent="0.25">
      <c r="B32" s="2"/>
      <c r="C32" s="1" t="s">
        <v>24</v>
      </c>
      <c r="D32" s="1">
        <v>2</v>
      </c>
      <c r="E32" s="1">
        <v>0</v>
      </c>
      <c r="F32" s="3" t="s">
        <v>22</v>
      </c>
      <c r="H32" s="2"/>
      <c r="I32" s="1" t="s">
        <v>24</v>
      </c>
      <c r="J32" s="1">
        <v>0</v>
      </c>
      <c r="K32" s="1">
        <v>2</v>
      </c>
      <c r="L32" s="3" t="s">
        <v>20</v>
      </c>
      <c r="N32" s="2"/>
      <c r="O32" s="1" t="s">
        <v>21</v>
      </c>
      <c r="P32" s="1">
        <v>0</v>
      </c>
      <c r="Q32" s="1">
        <v>2</v>
      </c>
      <c r="R32" s="3" t="s">
        <v>24</v>
      </c>
    </row>
    <row r="33" spans="2:18" ht="15.75" thickBot="1" x14ac:dyDescent="0.3">
      <c r="B33" s="4"/>
      <c r="C33" s="5" t="s">
        <v>21</v>
      </c>
      <c r="D33" s="5">
        <v>0</v>
      </c>
      <c r="E33" s="5">
        <v>2</v>
      </c>
      <c r="F33" s="6" t="s">
        <v>20</v>
      </c>
      <c r="H33" s="4"/>
      <c r="I33" s="5" t="s">
        <v>37</v>
      </c>
      <c r="J33" s="5">
        <v>1</v>
      </c>
      <c r="K33" s="5">
        <v>2</v>
      </c>
      <c r="L33" s="6" t="s">
        <v>36</v>
      </c>
      <c r="N33" s="4"/>
      <c r="O33" s="5" t="s">
        <v>22</v>
      </c>
      <c r="P33" s="5">
        <v>2</v>
      </c>
      <c r="Q33" s="5">
        <v>1</v>
      </c>
      <c r="R33" s="6" t="s">
        <v>25</v>
      </c>
    </row>
    <row r="35" spans="2:18" ht="15.75" thickBot="1" x14ac:dyDescent="0.3">
      <c r="B35" s="65" t="s">
        <v>9</v>
      </c>
      <c r="C35" s="66"/>
      <c r="D35" s="66"/>
      <c r="E35" s="66"/>
      <c r="F35" s="67"/>
      <c r="H35" s="65" t="s">
        <v>10</v>
      </c>
      <c r="I35" s="66"/>
      <c r="J35" s="66"/>
      <c r="K35" s="66"/>
      <c r="L35" s="67"/>
      <c r="N35" s="65" t="s">
        <v>11</v>
      </c>
      <c r="O35" s="66"/>
      <c r="P35" s="66"/>
      <c r="Q35" s="66"/>
      <c r="R35" s="67"/>
    </row>
    <row r="36" spans="2:18" x14ac:dyDescent="0.25">
      <c r="B36" s="22" t="s">
        <v>1</v>
      </c>
      <c r="C36" s="23" t="s">
        <v>38</v>
      </c>
      <c r="D36" s="23"/>
      <c r="E36" s="23"/>
      <c r="F36" s="24" t="s">
        <v>21</v>
      </c>
      <c r="H36" s="22" t="s">
        <v>1</v>
      </c>
      <c r="I36" s="23" t="s">
        <v>20</v>
      </c>
      <c r="J36" s="23"/>
      <c r="K36" s="23"/>
      <c r="L36" s="24" t="s">
        <v>21</v>
      </c>
      <c r="N36" s="22" t="s">
        <v>1</v>
      </c>
      <c r="O36" s="23" t="s">
        <v>23</v>
      </c>
      <c r="P36" s="23"/>
      <c r="Q36" s="23"/>
      <c r="R36" s="24" t="s">
        <v>37</v>
      </c>
    </row>
    <row r="37" spans="2:18" x14ac:dyDescent="0.25">
      <c r="B37" s="2"/>
      <c r="C37" s="1" t="s">
        <v>36</v>
      </c>
      <c r="D37" s="1"/>
      <c r="E37" s="1"/>
      <c r="F37" s="3" t="s">
        <v>25</v>
      </c>
      <c r="H37" s="2"/>
      <c r="I37" s="1" t="s">
        <v>23</v>
      </c>
      <c r="J37" s="1"/>
      <c r="K37" s="1"/>
      <c r="L37" s="3" t="s">
        <v>25</v>
      </c>
      <c r="N37" s="2"/>
      <c r="O37" s="1" t="s">
        <v>38</v>
      </c>
      <c r="P37" s="1"/>
      <c r="Q37" s="1"/>
      <c r="R37" s="3" t="s">
        <v>20</v>
      </c>
    </row>
    <row r="38" spans="2:18" ht="15.75" thickBot="1" x14ac:dyDescent="0.3">
      <c r="B38" s="4"/>
      <c r="C38" s="5"/>
      <c r="D38" s="5"/>
      <c r="E38" s="5"/>
      <c r="F38" s="6"/>
      <c r="H38" s="4"/>
      <c r="I38" s="5"/>
      <c r="J38" s="5"/>
      <c r="K38" s="5"/>
      <c r="L38" s="6"/>
      <c r="N38" s="4"/>
      <c r="O38" s="5"/>
      <c r="P38" s="5"/>
      <c r="Q38" s="5"/>
      <c r="R38" s="6"/>
    </row>
    <row r="39" spans="2:18" x14ac:dyDescent="0.25">
      <c r="B39" s="22" t="s">
        <v>2</v>
      </c>
      <c r="C39" s="23" t="s">
        <v>20</v>
      </c>
      <c r="D39" s="23"/>
      <c r="E39" s="23"/>
      <c r="F39" s="24" t="s">
        <v>23</v>
      </c>
      <c r="H39" s="22" t="s">
        <v>2</v>
      </c>
      <c r="I39" s="23" t="s">
        <v>22</v>
      </c>
      <c r="J39" s="23"/>
      <c r="K39" s="23"/>
      <c r="L39" s="24" t="s">
        <v>24</v>
      </c>
      <c r="N39" s="22" t="s">
        <v>2</v>
      </c>
      <c r="O39" s="23" t="s">
        <v>24</v>
      </c>
      <c r="P39" s="23"/>
      <c r="Q39" s="23"/>
      <c r="R39" s="24" t="s">
        <v>36</v>
      </c>
    </row>
    <row r="40" spans="2:18" x14ac:dyDescent="0.25">
      <c r="B40" s="2"/>
      <c r="C40" s="1" t="s">
        <v>21</v>
      </c>
      <c r="D40" s="1"/>
      <c r="E40" s="1"/>
      <c r="F40" s="3" t="s">
        <v>37</v>
      </c>
      <c r="H40" s="2"/>
      <c r="I40" s="1" t="s">
        <v>37</v>
      </c>
      <c r="J40" s="1"/>
      <c r="K40" s="1"/>
      <c r="L40" s="3" t="s">
        <v>25</v>
      </c>
      <c r="N40" s="2"/>
      <c r="O40" s="1" t="s">
        <v>21</v>
      </c>
      <c r="P40" s="1"/>
      <c r="Q40" s="1"/>
      <c r="R40" s="3" t="s">
        <v>22</v>
      </c>
    </row>
    <row r="41" spans="2:18" ht="15.75" thickBot="1" x14ac:dyDescent="0.3">
      <c r="B41" s="4"/>
      <c r="C41" s="5" t="s">
        <v>38</v>
      </c>
      <c r="D41" s="5"/>
      <c r="E41" s="5"/>
      <c r="F41" s="6" t="s">
        <v>36</v>
      </c>
      <c r="H41" s="4"/>
      <c r="I41" s="5" t="s">
        <v>36</v>
      </c>
      <c r="J41" s="5"/>
      <c r="K41" s="5"/>
      <c r="L41" s="6" t="s">
        <v>23</v>
      </c>
      <c r="N41" s="4"/>
      <c r="O41" s="5" t="s">
        <v>37</v>
      </c>
      <c r="P41" s="5"/>
      <c r="Q41" s="5"/>
      <c r="R41" s="6" t="s">
        <v>38</v>
      </c>
    </row>
    <row r="42" spans="2:18" x14ac:dyDescent="0.25">
      <c r="B42" s="22" t="s">
        <v>3</v>
      </c>
      <c r="C42" s="23" t="s">
        <v>20</v>
      </c>
      <c r="D42" s="23"/>
      <c r="E42" s="23"/>
      <c r="F42" s="24" t="s">
        <v>25</v>
      </c>
      <c r="H42" s="22" t="s">
        <v>3</v>
      </c>
      <c r="I42" s="23" t="s">
        <v>22</v>
      </c>
      <c r="J42" s="23"/>
      <c r="K42" s="23"/>
      <c r="L42" s="24" t="s">
        <v>38</v>
      </c>
      <c r="N42" s="22" t="s">
        <v>3</v>
      </c>
      <c r="O42" s="23" t="s">
        <v>22</v>
      </c>
      <c r="P42" s="23"/>
      <c r="Q42" s="23"/>
      <c r="R42" s="24" t="s">
        <v>20</v>
      </c>
    </row>
    <row r="43" spans="2:18" x14ac:dyDescent="0.25">
      <c r="B43" s="2"/>
      <c r="C43" s="1" t="s">
        <v>37</v>
      </c>
      <c r="D43" s="1"/>
      <c r="E43" s="1"/>
      <c r="F43" s="3" t="s">
        <v>22</v>
      </c>
      <c r="H43" s="2"/>
      <c r="I43" s="1" t="s">
        <v>37</v>
      </c>
      <c r="J43" s="1"/>
      <c r="K43" s="1"/>
      <c r="L43" s="3" t="s">
        <v>24</v>
      </c>
      <c r="N43" s="2"/>
      <c r="O43" s="1" t="s">
        <v>23</v>
      </c>
      <c r="P43" s="1"/>
      <c r="Q43" s="1"/>
      <c r="R43" s="3" t="s">
        <v>21</v>
      </c>
    </row>
    <row r="44" spans="2:18" ht="15.75" thickBot="1" x14ac:dyDescent="0.3">
      <c r="B44" s="4"/>
      <c r="C44" s="5" t="s">
        <v>24</v>
      </c>
      <c r="D44" s="5"/>
      <c r="E44" s="5"/>
      <c r="F44" s="6" t="s">
        <v>23</v>
      </c>
      <c r="H44" s="4"/>
      <c r="I44" s="5" t="s">
        <v>36</v>
      </c>
      <c r="J44" s="5"/>
      <c r="K44" s="5"/>
      <c r="L44" s="6" t="s">
        <v>21</v>
      </c>
      <c r="N44" s="4"/>
      <c r="O44" s="5" t="s">
        <v>24</v>
      </c>
      <c r="P44" s="5"/>
      <c r="Q44" s="5"/>
      <c r="R44" s="6" t="s">
        <v>25</v>
      </c>
    </row>
    <row r="45" spans="2:18" ht="15.75" thickBot="1" x14ac:dyDescent="0.3"/>
    <row r="46" spans="2:18" ht="15.75" thickBot="1" x14ac:dyDescent="0.3">
      <c r="B46" s="56" t="s">
        <v>39</v>
      </c>
      <c r="C46" s="57"/>
      <c r="D46" s="57"/>
      <c r="E46" s="57"/>
      <c r="F46" s="58"/>
      <c r="H46" s="85" t="s">
        <v>12</v>
      </c>
      <c r="I46" s="86"/>
      <c r="J46" s="86"/>
      <c r="K46" s="86"/>
      <c r="L46" s="86"/>
      <c r="M46" s="86"/>
      <c r="N46" s="86"/>
      <c r="O46" s="86"/>
      <c r="P46" s="86"/>
      <c r="Q46" s="86"/>
      <c r="R46" s="87"/>
    </row>
    <row r="47" spans="2:18" x14ac:dyDescent="0.25">
      <c r="B47" s="2" t="s">
        <v>40</v>
      </c>
      <c r="C47" s="1"/>
      <c r="D47" s="1"/>
      <c r="E47" s="1"/>
      <c r="F47" s="3"/>
      <c r="H47" s="9"/>
      <c r="R47" s="10"/>
    </row>
    <row r="48" spans="2:18" ht="15.75" thickBot="1" x14ac:dyDescent="0.3">
      <c r="B48" s="2" t="s">
        <v>41</v>
      </c>
      <c r="C48" s="1"/>
      <c r="D48" s="1"/>
      <c r="E48" s="1"/>
      <c r="F48" s="3"/>
      <c r="H48" s="92" t="s">
        <v>13</v>
      </c>
      <c r="I48" s="93"/>
      <c r="J48" s="95" t="s">
        <v>15</v>
      </c>
      <c r="K48" s="95"/>
      <c r="L48" s="95"/>
      <c r="R48" s="10"/>
    </row>
    <row r="49" spans="2:19" ht="16.5" thickTop="1" thickBot="1" x14ac:dyDescent="0.3">
      <c r="B49" s="2" t="s">
        <v>42</v>
      </c>
      <c r="C49" s="1"/>
      <c r="D49" s="1"/>
      <c r="E49" s="1"/>
      <c r="F49" s="3"/>
      <c r="H49" s="17" t="str">
        <f>B5</f>
        <v>NAVI</v>
      </c>
      <c r="I49" s="37"/>
      <c r="J49" s="81" t="str">
        <f>B4</f>
        <v>AE</v>
      </c>
      <c r="K49" s="82"/>
      <c r="L49" s="37"/>
      <c r="M49" s="94" t="s">
        <v>50</v>
      </c>
      <c r="N49" s="94"/>
      <c r="O49" s="94"/>
      <c r="R49" s="10"/>
    </row>
    <row r="50" spans="2:19" ht="16.5" thickTop="1" thickBot="1" x14ac:dyDescent="0.3">
      <c r="B50" s="2" t="s">
        <v>43</v>
      </c>
      <c r="C50" s="1"/>
      <c r="D50" s="1"/>
      <c r="E50" s="1"/>
      <c r="F50" s="3"/>
      <c r="H50" s="18" t="str">
        <f>B8</f>
        <v>ONIC</v>
      </c>
      <c r="I50" s="38"/>
      <c r="J50" s="81" t="str">
        <f>IF(I49&gt;I50, H49, H50)</f>
        <v>ONIC</v>
      </c>
      <c r="K50" s="82"/>
      <c r="L50" s="38"/>
      <c r="M50" s="79" t="str">
        <f>IF((L49&gt;L50),J49,J50)</f>
        <v>ONIC</v>
      </c>
      <c r="N50" s="80"/>
      <c r="O50" s="37"/>
      <c r="P50" s="90" t="s">
        <v>16</v>
      </c>
      <c r="Q50" s="90"/>
      <c r="R50" s="91"/>
    </row>
    <row r="51" spans="2:19" ht="16.5" thickTop="1" thickBot="1" x14ac:dyDescent="0.3">
      <c r="B51" s="2" t="s">
        <v>44</v>
      </c>
      <c r="C51" s="1"/>
      <c r="D51" s="1"/>
      <c r="E51" s="1"/>
      <c r="F51" s="3"/>
      <c r="H51" s="18" t="str">
        <f>B6</f>
        <v>EVOS</v>
      </c>
      <c r="I51" s="37"/>
      <c r="J51" s="81" t="str">
        <f>B3</f>
        <v>TLID</v>
      </c>
      <c r="K51" s="82"/>
      <c r="L51" s="37"/>
      <c r="M51" s="79" t="str">
        <f>IF((L51&gt;L52),J51,J52)</f>
        <v>BTR by VIT</v>
      </c>
      <c r="N51" s="80"/>
      <c r="O51" s="38"/>
      <c r="P51" s="88" t="str">
        <f>IF((O50&gt;O51),M50,M51)</f>
        <v>BTR by VIT</v>
      </c>
      <c r="Q51" s="89"/>
      <c r="R51" s="44"/>
      <c r="S51" s="9"/>
    </row>
    <row r="52" spans="2:19" ht="16.5" thickTop="1" thickBot="1" x14ac:dyDescent="0.3">
      <c r="B52" s="2" t="s">
        <v>45</v>
      </c>
      <c r="C52" s="1"/>
      <c r="D52" s="1"/>
      <c r="E52" s="1"/>
      <c r="F52" s="3"/>
      <c r="H52" s="18" t="str">
        <f>B7</f>
        <v>BTR by VIT</v>
      </c>
      <c r="I52" s="38"/>
      <c r="J52" s="81" t="str">
        <f>IF(I51&gt;I52, H51, H52)</f>
        <v>BTR by VIT</v>
      </c>
      <c r="K52" s="82"/>
      <c r="L52" s="38"/>
      <c r="M52" s="83" t="str">
        <f>IF((O50&lt;O51),M50,M51)</f>
        <v>BTR by VIT</v>
      </c>
      <c r="N52" s="84"/>
      <c r="O52" s="37"/>
      <c r="P52" s="88" t="str">
        <f>IF((O52&gt;O53),M52,M53)</f>
        <v>BTR by VIT</v>
      </c>
      <c r="Q52" s="89"/>
      <c r="R52" s="45"/>
      <c r="S52" s="9"/>
    </row>
    <row r="53" spans="2:19" ht="16.5" thickTop="1" thickBot="1" x14ac:dyDescent="0.3">
      <c r="B53" s="2" t="s">
        <v>46</v>
      </c>
      <c r="C53" s="1"/>
      <c r="D53" s="1"/>
      <c r="E53" s="1"/>
      <c r="F53" s="3"/>
      <c r="H53" s="92" t="s">
        <v>14</v>
      </c>
      <c r="I53" s="93"/>
      <c r="J53" s="73" t="str">
        <f>IF((L49&lt;L50),J49,J50)</f>
        <v>ONIC</v>
      </c>
      <c r="K53" s="74"/>
      <c r="L53" s="37"/>
      <c r="M53" s="83" t="str">
        <f>IF((L53&gt;L54),J53,J54)</f>
        <v>BTR by VIT</v>
      </c>
      <c r="N53" s="84"/>
      <c r="O53" s="38"/>
      <c r="P53" s="15"/>
      <c r="Q53" s="15"/>
      <c r="R53" s="16"/>
    </row>
    <row r="54" spans="2:19" ht="16.5" thickTop="1" thickBot="1" x14ac:dyDescent="0.3">
      <c r="B54" s="2" t="s">
        <v>47</v>
      </c>
      <c r="C54" s="1"/>
      <c r="D54" s="1"/>
      <c r="E54" s="1"/>
      <c r="F54" s="3"/>
      <c r="H54" s="9"/>
      <c r="J54" s="73" t="str">
        <f>IF((L51&lt;L52),J51,J52)</f>
        <v>BTR by VIT</v>
      </c>
      <c r="K54" s="74"/>
      <c r="L54" s="38"/>
      <c r="M54" s="76" t="s">
        <v>18</v>
      </c>
      <c r="N54" s="77"/>
      <c r="O54" s="78"/>
      <c r="R54" s="10"/>
    </row>
    <row r="55" spans="2:19" ht="16.5" thickTop="1" thickBot="1" x14ac:dyDescent="0.3">
      <c r="B55" s="4" t="s">
        <v>48</v>
      </c>
      <c r="C55" s="5"/>
      <c r="D55" s="5"/>
      <c r="E55" s="5"/>
      <c r="F55" s="6"/>
      <c r="H55" s="9"/>
      <c r="J55" s="75" t="s">
        <v>17</v>
      </c>
      <c r="K55" s="75"/>
      <c r="L55" s="75"/>
      <c r="R55" s="10"/>
    </row>
    <row r="56" spans="2:19" ht="15.75" thickBot="1" x14ac:dyDescent="0.3">
      <c r="H56" s="11"/>
      <c r="I56" s="12"/>
      <c r="J56" s="12"/>
      <c r="K56" s="12"/>
      <c r="L56" s="12"/>
      <c r="M56" s="12"/>
      <c r="N56" s="12"/>
      <c r="O56" s="12"/>
      <c r="P56" s="12"/>
      <c r="Q56" s="12"/>
      <c r="R56" s="13"/>
    </row>
    <row r="59" spans="2:19" x14ac:dyDescent="0.25">
      <c r="H59" s="43"/>
      <c r="J59" s="55"/>
      <c r="K59" s="55"/>
    </row>
    <row r="61" spans="2:19" x14ac:dyDescent="0.25">
      <c r="H61" s="43"/>
      <c r="J61" s="55"/>
      <c r="K61" s="55"/>
    </row>
  </sheetData>
  <mergeCells count="36">
    <mergeCell ref="J54:K54"/>
    <mergeCell ref="M54:O54"/>
    <mergeCell ref="J55:L55"/>
    <mergeCell ref="J59:K59"/>
    <mergeCell ref="J61:K61"/>
    <mergeCell ref="J52:K52"/>
    <mergeCell ref="M52:N52"/>
    <mergeCell ref="P52:Q52"/>
    <mergeCell ref="H53:I53"/>
    <mergeCell ref="J53:K53"/>
    <mergeCell ref="M53:N53"/>
    <mergeCell ref="J50:K50"/>
    <mergeCell ref="M50:N50"/>
    <mergeCell ref="P50:R50"/>
    <mergeCell ref="J51:K51"/>
    <mergeCell ref="M51:N51"/>
    <mergeCell ref="P51:Q51"/>
    <mergeCell ref="B46:F46"/>
    <mergeCell ref="H46:R46"/>
    <mergeCell ref="H48:I48"/>
    <mergeCell ref="J48:L48"/>
    <mergeCell ref="J49:K49"/>
    <mergeCell ref="M49:O49"/>
    <mergeCell ref="B24:F24"/>
    <mergeCell ref="H24:L24"/>
    <mergeCell ref="N24:R24"/>
    <mergeCell ref="B35:F35"/>
    <mergeCell ref="H35:L35"/>
    <mergeCell ref="N35:R35"/>
    <mergeCell ref="A1:G1"/>
    <mergeCell ref="I1:L1"/>
    <mergeCell ref="I2:R9"/>
    <mergeCell ref="I10:R10"/>
    <mergeCell ref="B13:F13"/>
    <mergeCell ref="H13:L13"/>
    <mergeCell ref="N13:R13"/>
  </mergeCells>
  <conditionalFormatting sqref="C14:C22">
    <cfRule type="expression" dxfId="44" priority="39">
      <formula>AND(ISNUMBER($D14),ISNUMBER($E14),$D14&lt;$E14)</formula>
    </cfRule>
    <cfRule type="expression" dxfId="43" priority="40">
      <formula>AND(ISNUMBER($D14),ISNUMBER($E14),$D14&gt;$E14)</formula>
    </cfRule>
  </conditionalFormatting>
  <conditionalFormatting sqref="C25:C33">
    <cfRule type="expression" dxfId="42" priority="35">
      <formula>AND(ISNUMBER($D25),ISNUMBER($E25),$D25&lt;$E25)</formula>
    </cfRule>
    <cfRule type="expression" dxfId="41" priority="36">
      <formula>AND(ISNUMBER($D25),ISNUMBER($E25),$D25&gt;$E25)</formula>
    </cfRule>
  </conditionalFormatting>
  <conditionalFormatting sqref="C36:C44">
    <cfRule type="expression" dxfId="40" priority="19">
      <formula>AND(ISNUMBER($D36),ISNUMBER($E36),$D36&lt;$E36)</formula>
    </cfRule>
    <cfRule type="expression" dxfId="39" priority="20">
      <formula>AND(ISNUMBER($D36),ISNUMBER($E36),$D36&gt;$E36)</formula>
    </cfRule>
  </conditionalFormatting>
  <conditionalFormatting sqref="C47:C55">
    <cfRule type="expression" dxfId="38" priority="15">
      <formula>AND(ISNUMBER($D47),ISNUMBER($E47),$D47&lt;$E47)</formula>
    </cfRule>
    <cfRule type="expression" dxfId="37" priority="16">
      <formula>AND(ISNUMBER($D47),ISNUMBER($E47),$D47&gt;$E47)</formula>
    </cfRule>
  </conditionalFormatting>
  <conditionalFormatting sqref="F14:F22">
    <cfRule type="expression" dxfId="36" priority="37">
      <formula>AND(ISNUMBER($D14),ISNUMBER($E14),$E14&lt;$D14)</formula>
    </cfRule>
    <cfRule type="expression" dxfId="35" priority="38">
      <formula>AND(ISNUMBER($D14),ISNUMBER($E14),$E14&gt;$D14)</formula>
    </cfRule>
  </conditionalFormatting>
  <conditionalFormatting sqref="F25:F33">
    <cfRule type="expression" dxfId="34" priority="33">
      <formula>AND(ISNUMBER($D25),ISNUMBER($E25),$E25&lt;$D25)</formula>
    </cfRule>
    <cfRule type="expression" dxfId="33" priority="34">
      <formula>AND(ISNUMBER($D25),ISNUMBER($E25),$E25&gt;$D25)</formula>
    </cfRule>
  </conditionalFormatting>
  <conditionalFormatting sqref="F36:F44">
    <cfRule type="expression" dxfId="32" priority="17">
      <formula>AND(ISNUMBER($D36),ISNUMBER($E36),$E36&lt;$D36)</formula>
    </cfRule>
    <cfRule type="expression" dxfId="31" priority="18">
      <formula>AND(ISNUMBER($D36),ISNUMBER($E36),$E36&gt;$D36)</formula>
    </cfRule>
  </conditionalFormatting>
  <conditionalFormatting sqref="F47:F55">
    <cfRule type="expression" dxfId="30" priority="13">
      <formula>AND(ISNUMBER($D47),ISNUMBER($E47),$E47&lt;$D47)</formula>
    </cfRule>
    <cfRule type="expression" dxfId="29" priority="14">
      <formula>AND(ISNUMBER($D47),ISNUMBER($E47),$E47&gt;$D47)</formula>
    </cfRule>
  </conditionalFormatting>
  <conditionalFormatting sqref="I14:I22">
    <cfRule type="expression" dxfId="28" priority="31">
      <formula>AND(ISNUMBER($J14),ISNUMBER($K14),$J14&lt;$K14)</formula>
    </cfRule>
    <cfRule type="expression" dxfId="27" priority="32">
      <formula>AND(ISNUMBER($J14),ISNUMBER($K14),$J14&gt;$K14)</formula>
    </cfRule>
  </conditionalFormatting>
  <conditionalFormatting sqref="I25:I33">
    <cfRule type="expression" dxfId="26" priority="27">
      <formula>AND(ISNUMBER($J25),ISNUMBER($K25),$J25&lt;$K25)</formula>
    </cfRule>
    <cfRule type="expression" dxfId="25" priority="28">
      <formula>AND(ISNUMBER($J25),ISNUMBER($K25),$J25&gt;$K25)</formula>
    </cfRule>
  </conditionalFormatting>
  <conditionalFormatting sqref="I36:I44">
    <cfRule type="expression" dxfId="24" priority="23">
      <formula>AND(ISNUMBER($J36),ISNUMBER($K36),$J36&lt;$K36)</formula>
    </cfRule>
    <cfRule type="expression" dxfId="23" priority="24">
      <formula>AND(ISNUMBER($J36),ISNUMBER($K36),$J36&gt;$K36)</formula>
    </cfRule>
  </conditionalFormatting>
  <conditionalFormatting sqref="L14:L22">
    <cfRule type="expression" dxfId="22" priority="29">
      <formula>AND(ISNUMBER($J14),ISNUMBER($K14),$J14&gt;$K14)</formula>
    </cfRule>
    <cfRule type="expression" dxfId="21" priority="30">
      <formula>AND(ISNUMBER($J14),ISNUMBER($K14),$J14&lt;$K14)</formula>
    </cfRule>
  </conditionalFormatting>
  <conditionalFormatting sqref="L25:L33">
    <cfRule type="expression" dxfId="20" priority="25">
      <formula>AND(ISNUMBER($J25),ISNUMBER($K25),$J25&gt;$K25)</formula>
    </cfRule>
    <cfRule type="expression" dxfId="19" priority="26">
      <formula>AND(ISNUMBER($J25),ISNUMBER($K25),$J25&lt;$K25)</formula>
    </cfRule>
  </conditionalFormatting>
  <conditionalFormatting sqref="L36:L44">
    <cfRule type="expression" dxfId="18" priority="21">
      <formula>AND(ISNUMBER($J36),ISNUMBER($K36),$J36&gt;$K36)</formula>
    </cfRule>
    <cfRule type="expression" dxfId="17" priority="22">
      <formula>AND(ISNUMBER($J36),ISNUMBER($K36),$J36&lt;$K36)</formula>
    </cfRule>
  </conditionalFormatting>
  <conditionalFormatting sqref="O14:O22">
    <cfRule type="expression" dxfId="16" priority="11">
      <formula>AND(ISNUMBER($P14),ISNUMBER($Q14),$P14&lt;$Q14)</formula>
    </cfRule>
    <cfRule type="expression" dxfId="15" priority="12">
      <formula>AND(ISNUMBER($P14),ISNUMBER($Q14),$P14&gt;$Q14)</formula>
    </cfRule>
  </conditionalFormatting>
  <conditionalFormatting sqref="O25:O33">
    <cfRule type="expression" dxfId="14" priority="7">
      <formula>AND(ISNUMBER($P25),ISNUMBER($Q25),$P25&lt;$Q25)</formula>
    </cfRule>
    <cfRule type="expression" dxfId="13" priority="8">
      <formula>AND(ISNUMBER($P25),ISNUMBER($Q25),$P25&gt;$Q25)</formula>
    </cfRule>
  </conditionalFormatting>
  <conditionalFormatting sqref="O36:O44">
    <cfRule type="expression" dxfId="12" priority="3">
      <formula>AND(ISNUMBER($P36),ISNUMBER($Q36),$P36&lt;$Q36)</formula>
    </cfRule>
    <cfRule type="expression" dxfId="11" priority="4">
      <formula>AND(ISNUMBER($P36),ISNUMBER($Q36),$P36&gt;$Q36)</formula>
    </cfRule>
  </conditionalFormatting>
  <conditionalFormatting sqref="R14:R22">
    <cfRule type="expression" dxfId="10" priority="9">
      <formula>AND(ISNUMBER($P14),ISNUMBER($Q14),$P14&gt;$Q14)</formula>
    </cfRule>
    <cfRule type="expression" dxfId="9" priority="10">
      <formula>AND(ISNUMBER($P14),ISNUMBER($Q14),$P14&lt;$Q14)</formula>
    </cfRule>
  </conditionalFormatting>
  <conditionalFormatting sqref="R25:R33">
    <cfRule type="expression" dxfId="8" priority="5">
      <formula>AND(ISNUMBER($P25),ISNUMBER($Q25),$P25&gt;$Q25)</formula>
    </cfRule>
    <cfRule type="expression" dxfId="7" priority="6">
      <formula>AND(ISNUMBER($P25),ISNUMBER($Q25),$P25&lt;$Q25)</formula>
    </cfRule>
  </conditionalFormatting>
  <conditionalFormatting sqref="R36:R44">
    <cfRule type="expression" dxfId="6" priority="1">
      <formula>AND(ISNUMBER($P36),ISNUMBER($Q36),$P36&gt;$Q36)</formula>
    </cfRule>
    <cfRule type="expression" dxfId="5" priority="2">
      <formula>AND(ISNUMBER($P36),ISNUMBER($Q36),$P36&lt;$Q36)</formula>
    </cfRule>
  </conditionalFormatting>
  <dataValidations count="4">
    <dataValidation type="list" allowBlank="1" showInputMessage="1" showErrorMessage="1" sqref="I49:I52 L49:L54 O50:O51" xr:uid="{391306D2-D637-4EF1-86D7-BEE613482931}">
      <formula1>"0,1,2,3"</formula1>
    </dataValidation>
    <dataValidation type="list" allowBlank="1" showInputMessage="1" showErrorMessage="1" sqref="O52:O53 R51:R52" xr:uid="{B1F90F2C-42E7-4F58-B62F-73321F1F12D6}">
      <formula1>"0,1,2,3,4"</formula1>
    </dataValidation>
    <dataValidation type="list" allowBlank="1" showInputMessage="1" showErrorMessage="1" sqref="D14:E22 D25:E33 J14:K22 J25:K33 J36:K44 D36:E44 D47:E55 P14:Q22 P25:Q33 P36:Q44" xr:uid="{AE10AEFC-8CE0-4EC5-98E0-D887B5A6FE96}">
      <formula1>"0,1,2"</formula1>
    </dataValidation>
    <dataValidation type="list" allowBlank="1" showInputMessage="1" showErrorMessage="1" sqref="C14:C22 F14:F22 C25:C33 F25:F33 I14:I22 L14:L22 I25:I33 L25:L33 I36:I44 L36:L44 C36:C44 F36:F44 C47:C55 F47:F55 O14:O22 R14:R22 O25:O33 R25:R33 O36:O44 R36:R44" xr:uid="{8B5F76B3-EC31-445D-9BA9-06D74D3FF936}">
      <formula1>$B$3:$B$11</formula1>
    </dataValidation>
  </dataValidations>
  <pageMargins left="0.7" right="0.7" top="0.75" bottom="0.75" header="0.3" footer="0.3"/>
  <pageSetup paperSize="9" scale="55" fitToWidth="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CA692E-9E9E-40A6-9F0A-4123D16794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MPL ID</vt:lpstr>
      <vt:lpstr>MPL PH</vt:lpstr>
      <vt:lpstr>MPL MY</vt:lpstr>
      <vt:lpstr>'MPL ID'!Print_Area</vt:lpstr>
      <vt:lpstr>'MPL MY'!Print_Area</vt:lpstr>
      <vt:lpstr>'MPL PH'!Print_Area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Amdila Rahmadi</dc:creator>
  <cp:lastModifiedBy>Amdila Rahmadi</cp:lastModifiedBy>
  <cp:lastPrinted>2026-09-23T04:48:38Z</cp:lastPrinted>
  <dcterms:created xsi:type="dcterms:W3CDTF">2026-09-21T17:00:53Z</dcterms:created>
  <dcterms:modified xsi:type="dcterms:W3CDTF">2026-09-26T04:47:28Z</dcterms:modified>
</cp:coreProperties>
</file>